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mc:AlternateContent xmlns:mc="http://schemas.openxmlformats.org/markup-compatibility/2006">
    <mc:Choice Requires="x15">
      <x15ac:absPath xmlns:x15ac="http://schemas.microsoft.com/office/spreadsheetml/2010/11/ac" url="C:\Users\BENJAMEN\Downloads\"/>
    </mc:Choice>
  </mc:AlternateContent>
  <xr:revisionPtr revIDLastSave="0" documentId="13_ncr:1_{60302C90-DF96-43C9-8489-4CF48DD94A12}" xr6:coauthVersionLast="47" xr6:coauthVersionMax="47" xr10:uidLastSave="{00000000-0000-0000-0000-000000000000}"/>
  <bookViews>
    <workbookView xWindow="-120" yWindow="-120" windowWidth="20730" windowHeight="11160" xr2:uid="{00000000-000D-0000-FFFF-FFFF00000000}"/>
  </bookViews>
  <sheets>
    <sheet name="Sheet1" sheetId="3" r:id="rId1"/>
    <sheet name="Advanced_Sales_Data" sheetId="1" r:id="rId2"/>
  </sheets>
  <definedNames>
    <definedName name="NativeTimeline_Order_Date">#N/A</definedName>
    <definedName name="Slicer_Country">#N/A</definedName>
    <definedName name="Slicer_Model">#N/A</definedName>
    <definedName name="Slicer_Yea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2" i="1"/>
</calcChain>
</file>

<file path=xl/sharedStrings.xml><?xml version="1.0" encoding="utf-8"?>
<sst xmlns="http://schemas.openxmlformats.org/spreadsheetml/2006/main" count="642" uniqueCount="26">
  <si>
    <t>Order Date</t>
  </si>
  <si>
    <t>Year</t>
  </si>
  <si>
    <t>Country</t>
  </si>
  <si>
    <t>Model</t>
  </si>
  <si>
    <t>Units Sold</t>
  </si>
  <si>
    <t>Sales ($)</t>
  </si>
  <si>
    <t>Cost ($)</t>
  </si>
  <si>
    <t>Egypt</t>
  </si>
  <si>
    <t>Model C</t>
  </si>
  <si>
    <t>Kenya</t>
  </si>
  <si>
    <t>Model A</t>
  </si>
  <si>
    <t>Nigeria</t>
  </si>
  <si>
    <t>Model D</t>
  </si>
  <si>
    <t>Model B</t>
  </si>
  <si>
    <t>Model E</t>
  </si>
  <si>
    <t>South Africa</t>
  </si>
  <si>
    <t>Morocco</t>
  </si>
  <si>
    <t>Ghana</t>
  </si>
  <si>
    <t>Profit ($)</t>
  </si>
  <si>
    <t>Average Price($)</t>
  </si>
  <si>
    <t>Row Labels</t>
  </si>
  <si>
    <t>Grand Total</t>
  </si>
  <si>
    <t>Sum of Sales ($)</t>
  </si>
  <si>
    <t>Column Labels</t>
  </si>
  <si>
    <t>Sum of Units Sold</t>
  </si>
  <si>
    <t>Sum of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</si>
</sst>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_(&quot;$&quot;* #,##0_);_(&quot;$&quot;* \(#,##0\);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164"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2">
    <cellStyle name="Currency" xfId="1" builtinId="4"/>
    <cellStyle name="Normal" xfId="0" builtinId="0"/>
  </cellStyles>
  <dxfs count="8">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assignment.xlsx]Sheet1!PivotTable1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Sheet1!$B$3:$B$4</c:f>
              <c:strCache>
                <c:ptCount val="1"/>
                <c:pt idx="0">
                  <c:v>Egypt</c:v>
                </c:pt>
              </c:strCache>
            </c:strRef>
          </c:tx>
          <c:spPr>
            <a:solidFill>
              <a:schemeClr val="accent1"/>
            </a:solidFill>
            <a:ln>
              <a:noFill/>
            </a:ln>
            <a:effectLst/>
          </c:spPr>
          <c:invertIfNegative val="0"/>
          <c:cat>
            <c:strRef>
              <c:f>Sheet1!$A$5:$A$10</c:f>
              <c:strCache>
                <c:ptCount val="5"/>
                <c:pt idx="0">
                  <c:v>2021</c:v>
                </c:pt>
                <c:pt idx="1">
                  <c:v>2022</c:v>
                </c:pt>
                <c:pt idx="2">
                  <c:v>2023</c:v>
                </c:pt>
                <c:pt idx="3">
                  <c:v>2024</c:v>
                </c:pt>
                <c:pt idx="4">
                  <c:v>2025</c:v>
                </c:pt>
              </c:strCache>
            </c:strRef>
          </c:cat>
          <c:val>
            <c:numRef>
              <c:f>Sheet1!$B$5:$B$10</c:f>
              <c:numCache>
                <c:formatCode>_("$"* #,##0_);_("$"* \(#,##0\);_("$"* "-"??_);_(@_)</c:formatCode>
                <c:ptCount val="5"/>
                <c:pt idx="0">
                  <c:v>4343052</c:v>
                </c:pt>
                <c:pt idx="1">
                  <c:v>6333326</c:v>
                </c:pt>
                <c:pt idx="2">
                  <c:v>3103051</c:v>
                </c:pt>
                <c:pt idx="3">
                  <c:v>4242869</c:v>
                </c:pt>
                <c:pt idx="4">
                  <c:v>6534881</c:v>
                </c:pt>
              </c:numCache>
            </c:numRef>
          </c:val>
          <c:extLst>
            <c:ext xmlns:c16="http://schemas.microsoft.com/office/drawing/2014/chart" uri="{C3380CC4-5D6E-409C-BE32-E72D297353CC}">
              <c16:uniqueId val="{00000000-7F66-4C39-8DD4-0C6BAD92CFA1}"/>
            </c:ext>
          </c:extLst>
        </c:ser>
        <c:ser>
          <c:idx val="1"/>
          <c:order val="1"/>
          <c:tx>
            <c:strRef>
              <c:f>Sheet1!$C$3:$C$4</c:f>
              <c:strCache>
                <c:ptCount val="1"/>
                <c:pt idx="0">
                  <c:v>Ghana</c:v>
                </c:pt>
              </c:strCache>
            </c:strRef>
          </c:tx>
          <c:spPr>
            <a:solidFill>
              <a:schemeClr val="accent2"/>
            </a:solidFill>
            <a:ln>
              <a:noFill/>
            </a:ln>
            <a:effectLst/>
          </c:spPr>
          <c:invertIfNegative val="0"/>
          <c:cat>
            <c:strRef>
              <c:f>Sheet1!$A$5:$A$10</c:f>
              <c:strCache>
                <c:ptCount val="5"/>
                <c:pt idx="0">
                  <c:v>2021</c:v>
                </c:pt>
                <c:pt idx="1">
                  <c:v>2022</c:v>
                </c:pt>
                <c:pt idx="2">
                  <c:v>2023</c:v>
                </c:pt>
                <c:pt idx="3">
                  <c:v>2024</c:v>
                </c:pt>
                <c:pt idx="4">
                  <c:v>2025</c:v>
                </c:pt>
              </c:strCache>
            </c:strRef>
          </c:cat>
          <c:val>
            <c:numRef>
              <c:f>Sheet1!$C$5:$C$10</c:f>
              <c:numCache>
                <c:formatCode>_("$"* #,##0_);_("$"* \(#,##0\);_("$"* "-"??_);_(@_)</c:formatCode>
                <c:ptCount val="5"/>
                <c:pt idx="0">
                  <c:v>5112111</c:v>
                </c:pt>
                <c:pt idx="1">
                  <c:v>8544812</c:v>
                </c:pt>
                <c:pt idx="2">
                  <c:v>12507001</c:v>
                </c:pt>
                <c:pt idx="3">
                  <c:v>4855332</c:v>
                </c:pt>
                <c:pt idx="4">
                  <c:v>4790931</c:v>
                </c:pt>
              </c:numCache>
            </c:numRef>
          </c:val>
          <c:extLst>
            <c:ext xmlns:c16="http://schemas.microsoft.com/office/drawing/2014/chart" uri="{C3380CC4-5D6E-409C-BE32-E72D297353CC}">
              <c16:uniqueId val="{00000011-7F66-4C39-8DD4-0C6BAD92CFA1}"/>
            </c:ext>
          </c:extLst>
        </c:ser>
        <c:ser>
          <c:idx val="2"/>
          <c:order val="2"/>
          <c:tx>
            <c:strRef>
              <c:f>Sheet1!$D$3:$D$4</c:f>
              <c:strCache>
                <c:ptCount val="1"/>
                <c:pt idx="0">
                  <c:v>Kenya</c:v>
                </c:pt>
              </c:strCache>
            </c:strRef>
          </c:tx>
          <c:spPr>
            <a:solidFill>
              <a:schemeClr val="accent3"/>
            </a:solidFill>
            <a:ln>
              <a:noFill/>
            </a:ln>
            <a:effectLst/>
          </c:spPr>
          <c:invertIfNegative val="0"/>
          <c:cat>
            <c:strRef>
              <c:f>Sheet1!$A$5:$A$10</c:f>
              <c:strCache>
                <c:ptCount val="5"/>
                <c:pt idx="0">
                  <c:v>2021</c:v>
                </c:pt>
                <c:pt idx="1">
                  <c:v>2022</c:v>
                </c:pt>
                <c:pt idx="2">
                  <c:v>2023</c:v>
                </c:pt>
                <c:pt idx="3">
                  <c:v>2024</c:v>
                </c:pt>
                <c:pt idx="4">
                  <c:v>2025</c:v>
                </c:pt>
              </c:strCache>
            </c:strRef>
          </c:cat>
          <c:val>
            <c:numRef>
              <c:f>Sheet1!$D$5:$D$10</c:f>
              <c:numCache>
                <c:formatCode>_("$"* #,##0_);_("$"* \(#,##0\);_("$"* "-"??_);_(@_)</c:formatCode>
                <c:ptCount val="5"/>
                <c:pt idx="0">
                  <c:v>10639955</c:v>
                </c:pt>
                <c:pt idx="2">
                  <c:v>8592734</c:v>
                </c:pt>
                <c:pt idx="3">
                  <c:v>4946454</c:v>
                </c:pt>
                <c:pt idx="4">
                  <c:v>8375041</c:v>
                </c:pt>
              </c:numCache>
            </c:numRef>
          </c:val>
          <c:extLst>
            <c:ext xmlns:c16="http://schemas.microsoft.com/office/drawing/2014/chart" uri="{C3380CC4-5D6E-409C-BE32-E72D297353CC}">
              <c16:uniqueId val="{00000012-7F66-4C39-8DD4-0C6BAD92CFA1}"/>
            </c:ext>
          </c:extLst>
        </c:ser>
        <c:ser>
          <c:idx val="3"/>
          <c:order val="3"/>
          <c:tx>
            <c:strRef>
              <c:f>Sheet1!$E$3:$E$4</c:f>
              <c:strCache>
                <c:ptCount val="1"/>
                <c:pt idx="0">
                  <c:v>Morocco</c:v>
                </c:pt>
              </c:strCache>
            </c:strRef>
          </c:tx>
          <c:spPr>
            <a:solidFill>
              <a:schemeClr val="accent4"/>
            </a:solidFill>
            <a:ln>
              <a:noFill/>
            </a:ln>
            <a:effectLst/>
          </c:spPr>
          <c:invertIfNegative val="0"/>
          <c:cat>
            <c:strRef>
              <c:f>Sheet1!$A$5:$A$10</c:f>
              <c:strCache>
                <c:ptCount val="5"/>
                <c:pt idx="0">
                  <c:v>2021</c:v>
                </c:pt>
                <c:pt idx="1">
                  <c:v>2022</c:v>
                </c:pt>
                <c:pt idx="2">
                  <c:v>2023</c:v>
                </c:pt>
                <c:pt idx="3">
                  <c:v>2024</c:v>
                </c:pt>
                <c:pt idx="4">
                  <c:v>2025</c:v>
                </c:pt>
              </c:strCache>
            </c:strRef>
          </c:cat>
          <c:val>
            <c:numRef>
              <c:f>Sheet1!$E$5:$E$10</c:f>
              <c:numCache>
                <c:formatCode>_("$"* #,##0_);_("$"* \(#,##0\);_("$"* "-"??_);_(@_)</c:formatCode>
                <c:ptCount val="5"/>
                <c:pt idx="0">
                  <c:v>4980913</c:v>
                </c:pt>
                <c:pt idx="1">
                  <c:v>5158582</c:v>
                </c:pt>
                <c:pt idx="2">
                  <c:v>5130206</c:v>
                </c:pt>
                <c:pt idx="3">
                  <c:v>5156229</c:v>
                </c:pt>
                <c:pt idx="4">
                  <c:v>4958057</c:v>
                </c:pt>
              </c:numCache>
            </c:numRef>
          </c:val>
          <c:extLst>
            <c:ext xmlns:c16="http://schemas.microsoft.com/office/drawing/2014/chart" uri="{C3380CC4-5D6E-409C-BE32-E72D297353CC}">
              <c16:uniqueId val="{00000000-A8A6-4CA6-9BEB-D26CAF62ADEA}"/>
            </c:ext>
          </c:extLst>
        </c:ser>
        <c:ser>
          <c:idx val="4"/>
          <c:order val="4"/>
          <c:tx>
            <c:strRef>
              <c:f>Sheet1!$F$3:$F$4</c:f>
              <c:strCache>
                <c:ptCount val="1"/>
                <c:pt idx="0">
                  <c:v>Nigeria</c:v>
                </c:pt>
              </c:strCache>
            </c:strRef>
          </c:tx>
          <c:spPr>
            <a:solidFill>
              <a:schemeClr val="accent5"/>
            </a:solidFill>
            <a:ln>
              <a:noFill/>
            </a:ln>
            <a:effectLst/>
          </c:spPr>
          <c:invertIfNegative val="0"/>
          <c:cat>
            <c:strRef>
              <c:f>Sheet1!$A$5:$A$10</c:f>
              <c:strCache>
                <c:ptCount val="5"/>
                <c:pt idx="0">
                  <c:v>2021</c:v>
                </c:pt>
                <c:pt idx="1">
                  <c:v>2022</c:v>
                </c:pt>
                <c:pt idx="2">
                  <c:v>2023</c:v>
                </c:pt>
                <c:pt idx="3">
                  <c:v>2024</c:v>
                </c:pt>
                <c:pt idx="4">
                  <c:v>2025</c:v>
                </c:pt>
              </c:strCache>
            </c:strRef>
          </c:cat>
          <c:val>
            <c:numRef>
              <c:f>Sheet1!$F$5:$F$10</c:f>
              <c:numCache>
                <c:formatCode>_("$"* #,##0_);_("$"* \(#,##0\);_("$"* "-"??_);_(@_)</c:formatCode>
                <c:ptCount val="5"/>
                <c:pt idx="0">
                  <c:v>4114815</c:v>
                </c:pt>
                <c:pt idx="1">
                  <c:v>6067401</c:v>
                </c:pt>
                <c:pt idx="2">
                  <c:v>6813228</c:v>
                </c:pt>
                <c:pt idx="3">
                  <c:v>11343112</c:v>
                </c:pt>
                <c:pt idx="4">
                  <c:v>5731956</c:v>
                </c:pt>
              </c:numCache>
            </c:numRef>
          </c:val>
          <c:extLst>
            <c:ext xmlns:c16="http://schemas.microsoft.com/office/drawing/2014/chart" uri="{C3380CC4-5D6E-409C-BE32-E72D297353CC}">
              <c16:uniqueId val="{00000001-A8A6-4CA6-9BEB-D26CAF62ADEA}"/>
            </c:ext>
          </c:extLst>
        </c:ser>
        <c:ser>
          <c:idx val="5"/>
          <c:order val="5"/>
          <c:tx>
            <c:strRef>
              <c:f>Sheet1!$G$3:$G$4</c:f>
              <c:strCache>
                <c:ptCount val="1"/>
                <c:pt idx="0">
                  <c:v>South Africa</c:v>
                </c:pt>
              </c:strCache>
            </c:strRef>
          </c:tx>
          <c:spPr>
            <a:solidFill>
              <a:schemeClr val="accent6"/>
            </a:solidFill>
            <a:ln>
              <a:noFill/>
            </a:ln>
            <a:effectLst/>
          </c:spPr>
          <c:invertIfNegative val="0"/>
          <c:cat>
            <c:strRef>
              <c:f>Sheet1!$A$5:$A$10</c:f>
              <c:strCache>
                <c:ptCount val="5"/>
                <c:pt idx="0">
                  <c:v>2021</c:v>
                </c:pt>
                <c:pt idx="1">
                  <c:v>2022</c:v>
                </c:pt>
                <c:pt idx="2">
                  <c:v>2023</c:v>
                </c:pt>
                <c:pt idx="3">
                  <c:v>2024</c:v>
                </c:pt>
                <c:pt idx="4">
                  <c:v>2025</c:v>
                </c:pt>
              </c:strCache>
            </c:strRef>
          </c:cat>
          <c:val>
            <c:numRef>
              <c:f>Sheet1!$G$5:$G$10</c:f>
              <c:numCache>
                <c:formatCode>_("$"* #,##0_);_("$"* \(#,##0\);_("$"* "-"??_);_(@_)</c:formatCode>
                <c:ptCount val="5"/>
                <c:pt idx="0">
                  <c:v>3994591</c:v>
                </c:pt>
                <c:pt idx="1">
                  <c:v>2536335</c:v>
                </c:pt>
                <c:pt idx="2">
                  <c:v>5276912</c:v>
                </c:pt>
                <c:pt idx="3">
                  <c:v>5615698</c:v>
                </c:pt>
                <c:pt idx="4">
                  <c:v>5297300</c:v>
                </c:pt>
              </c:numCache>
            </c:numRef>
          </c:val>
          <c:extLst>
            <c:ext xmlns:c16="http://schemas.microsoft.com/office/drawing/2014/chart" uri="{C3380CC4-5D6E-409C-BE32-E72D297353CC}">
              <c16:uniqueId val="{00000002-A8A6-4CA6-9BEB-D26CAF62ADEA}"/>
            </c:ext>
          </c:extLst>
        </c:ser>
        <c:dLbls>
          <c:showLegendKey val="0"/>
          <c:showVal val="0"/>
          <c:showCatName val="0"/>
          <c:showSerName val="0"/>
          <c:showPercent val="0"/>
          <c:showBubbleSize val="0"/>
        </c:dLbls>
        <c:gapWidth val="150"/>
        <c:overlap val="100"/>
        <c:axId val="897790400"/>
        <c:axId val="897809120"/>
      </c:barChart>
      <c:catAx>
        <c:axId val="89779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09120"/>
        <c:crosses val="autoZero"/>
        <c:auto val="1"/>
        <c:lblAlgn val="ctr"/>
        <c:lblOffset val="100"/>
        <c:noMultiLvlLbl val="0"/>
      </c:catAx>
      <c:valAx>
        <c:axId val="897809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9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assignment.xlsx]Sheet1!PivotTable2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Sheet1!$B$12:$B$13</c:f>
              <c:strCache>
                <c:ptCount val="1"/>
                <c:pt idx="0">
                  <c:v>Egypt</c:v>
                </c:pt>
              </c:strCache>
            </c:strRef>
          </c:tx>
          <c:spPr>
            <a:solidFill>
              <a:schemeClr val="accent1"/>
            </a:solidFill>
            <a:ln>
              <a:noFill/>
            </a:ln>
            <a:effectLst/>
          </c:spPr>
          <c:invertIfNegative val="0"/>
          <c:cat>
            <c:strRef>
              <c:f>Sheet1!$A$14:$A$19</c:f>
              <c:strCache>
                <c:ptCount val="5"/>
                <c:pt idx="0">
                  <c:v>2021</c:v>
                </c:pt>
                <c:pt idx="1">
                  <c:v>2022</c:v>
                </c:pt>
                <c:pt idx="2">
                  <c:v>2023</c:v>
                </c:pt>
                <c:pt idx="3">
                  <c:v>2024</c:v>
                </c:pt>
                <c:pt idx="4">
                  <c:v>2025</c:v>
                </c:pt>
              </c:strCache>
            </c:strRef>
          </c:cat>
          <c:val>
            <c:numRef>
              <c:f>Sheet1!$B$14:$B$19</c:f>
              <c:numCache>
                <c:formatCode>General</c:formatCode>
                <c:ptCount val="5"/>
                <c:pt idx="0">
                  <c:v>134528</c:v>
                </c:pt>
                <c:pt idx="1">
                  <c:v>202708</c:v>
                </c:pt>
                <c:pt idx="2">
                  <c:v>104202</c:v>
                </c:pt>
                <c:pt idx="3">
                  <c:v>124216</c:v>
                </c:pt>
                <c:pt idx="4">
                  <c:v>211733</c:v>
                </c:pt>
              </c:numCache>
            </c:numRef>
          </c:val>
          <c:extLst>
            <c:ext xmlns:c16="http://schemas.microsoft.com/office/drawing/2014/chart" uri="{C3380CC4-5D6E-409C-BE32-E72D297353CC}">
              <c16:uniqueId val="{00000000-B9A8-42D4-AA6E-14DAD8A2C402}"/>
            </c:ext>
          </c:extLst>
        </c:ser>
        <c:ser>
          <c:idx val="1"/>
          <c:order val="1"/>
          <c:tx>
            <c:strRef>
              <c:f>Sheet1!$C$12:$C$13</c:f>
              <c:strCache>
                <c:ptCount val="1"/>
                <c:pt idx="0">
                  <c:v>Ghana</c:v>
                </c:pt>
              </c:strCache>
            </c:strRef>
          </c:tx>
          <c:spPr>
            <a:solidFill>
              <a:schemeClr val="accent2"/>
            </a:solidFill>
            <a:ln>
              <a:noFill/>
            </a:ln>
            <a:effectLst/>
          </c:spPr>
          <c:invertIfNegative val="0"/>
          <c:cat>
            <c:strRef>
              <c:f>Sheet1!$A$14:$A$19</c:f>
              <c:strCache>
                <c:ptCount val="5"/>
                <c:pt idx="0">
                  <c:v>2021</c:v>
                </c:pt>
                <c:pt idx="1">
                  <c:v>2022</c:v>
                </c:pt>
                <c:pt idx="2">
                  <c:v>2023</c:v>
                </c:pt>
                <c:pt idx="3">
                  <c:v>2024</c:v>
                </c:pt>
                <c:pt idx="4">
                  <c:v>2025</c:v>
                </c:pt>
              </c:strCache>
            </c:strRef>
          </c:cat>
          <c:val>
            <c:numRef>
              <c:f>Sheet1!$C$14:$C$19</c:f>
              <c:numCache>
                <c:formatCode>General</c:formatCode>
                <c:ptCount val="5"/>
                <c:pt idx="0">
                  <c:v>170587</c:v>
                </c:pt>
                <c:pt idx="1">
                  <c:v>275338</c:v>
                </c:pt>
                <c:pt idx="2">
                  <c:v>360317</c:v>
                </c:pt>
                <c:pt idx="3">
                  <c:v>169508</c:v>
                </c:pt>
                <c:pt idx="4">
                  <c:v>164404</c:v>
                </c:pt>
              </c:numCache>
            </c:numRef>
          </c:val>
          <c:extLst>
            <c:ext xmlns:c16="http://schemas.microsoft.com/office/drawing/2014/chart" uri="{C3380CC4-5D6E-409C-BE32-E72D297353CC}">
              <c16:uniqueId val="{00000011-B9A8-42D4-AA6E-14DAD8A2C402}"/>
            </c:ext>
          </c:extLst>
        </c:ser>
        <c:ser>
          <c:idx val="2"/>
          <c:order val="2"/>
          <c:tx>
            <c:strRef>
              <c:f>Sheet1!$D$12:$D$13</c:f>
              <c:strCache>
                <c:ptCount val="1"/>
                <c:pt idx="0">
                  <c:v>Kenya</c:v>
                </c:pt>
              </c:strCache>
            </c:strRef>
          </c:tx>
          <c:spPr>
            <a:solidFill>
              <a:schemeClr val="accent3"/>
            </a:solidFill>
            <a:ln>
              <a:noFill/>
            </a:ln>
            <a:effectLst/>
          </c:spPr>
          <c:invertIfNegative val="0"/>
          <c:cat>
            <c:strRef>
              <c:f>Sheet1!$A$14:$A$19</c:f>
              <c:strCache>
                <c:ptCount val="5"/>
                <c:pt idx="0">
                  <c:v>2021</c:v>
                </c:pt>
                <c:pt idx="1">
                  <c:v>2022</c:v>
                </c:pt>
                <c:pt idx="2">
                  <c:v>2023</c:v>
                </c:pt>
                <c:pt idx="3">
                  <c:v>2024</c:v>
                </c:pt>
                <c:pt idx="4">
                  <c:v>2025</c:v>
                </c:pt>
              </c:strCache>
            </c:strRef>
          </c:cat>
          <c:val>
            <c:numRef>
              <c:f>Sheet1!$D$14:$D$19</c:f>
              <c:numCache>
                <c:formatCode>General</c:formatCode>
                <c:ptCount val="5"/>
                <c:pt idx="0">
                  <c:v>313404</c:v>
                </c:pt>
                <c:pt idx="2">
                  <c:v>257232</c:v>
                </c:pt>
                <c:pt idx="3">
                  <c:v>144327</c:v>
                </c:pt>
                <c:pt idx="4">
                  <c:v>211170</c:v>
                </c:pt>
              </c:numCache>
            </c:numRef>
          </c:val>
          <c:extLst>
            <c:ext xmlns:c16="http://schemas.microsoft.com/office/drawing/2014/chart" uri="{C3380CC4-5D6E-409C-BE32-E72D297353CC}">
              <c16:uniqueId val="{00000012-B9A8-42D4-AA6E-14DAD8A2C402}"/>
            </c:ext>
          </c:extLst>
        </c:ser>
        <c:ser>
          <c:idx val="3"/>
          <c:order val="3"/>
          <c:tx>
            <c:strRef>
              <c:f>Sheet1!$E$12:$E$13</c:f>
              <c:strCache>
                <c:ptCount val="1"/>
                <c:pt idx="0">
                  <c:v>Morocco</c:v>
                </c:pt>
              </c:strCache>
            </c:strRef>
          </c:tx>
          <c:spPr>
            <a:solidFill>
              <a:schemeClr val="accent4"/>
            </a:solidFill>
            <a:ln>
              <a:noFill/>
            </a:ln>
            <a:effectLst/>
          </c:spPr>
          <c:invertIfNegative val="0"/>
          <c:cat>
            <c:strRef>
              <c:f>Sheet1!$A$14:$A$19</c:f>
              <c:strCache>
                <c:ptCount val="5"/>
                <c:pt idx="0">
                  <c:v>2021</c:v>
                </c:pt>
                <c:pt idx="1">
                  <c:v>2022</c:v>
                </c:pt>
                <c:pt idx="2">
                  <c:v>2023</c:v>
                </c:pt>
                <c:pt idx="3">
                  <c:v>2024</c:v>
                </c:pt>
                <c:pt idx="4">
                  <c:v>2025</c:v>
                </c:pt>
              </c:strCache>
            </c:strRef>
          </c:cat>
          <c:val>
            <c:numRef>
              <c:f>Sheet1!$E$14:$E$19</c:f>
              <c:numCache>
                <c:formatCode>General</c:formatCode>
                <c:ptCount val="5"/>
                <c:pt idx="0">
                  <c:v>155848</c:v>
                </c:pt>
                <c:pt idx="1">
                  <c:v>171889</c:v>
                </c:pt>
                <c:pt idx="2">
                  <c:v>152309</c:v>
                </c:pt>
                <c:pt idx="3">
                  <c:v>178957</c:v>
                </c:pt>
                <c:pt idx="4">
                  <c:v>154844</c:v>
                </c:pt>
              </c:numCache>
            </c:numRef>
          </c:val>
          <c:extLst>
            <c:ext xmlns:c16="http://schemas.microsoft.com/office/drawing/2014/chart" uri="{C3380CC4-5D6E-409C-BE32-E72D297353CC}">
              <c16:uniqueId val="{00000000-B207-4F62-B866-2225A436A9F4}"/>
            </c:ext>
          </c:extLst>
        </c:ser>
        <c:ser>
          <c:idx val="4"/>
          <c:order val="4"/>
          <c:tx>
            <c:strRef>
              <c:f>Sheet1!$F$12:$F$13</c:f>
              <c:strCache>
                <c:ptCount val="1"/>
                <c:pt idx="0">
                  <c:v>Nigeria</c:v>
                </c:pt>
              </c:strCache>
            </c:strRef>
          </c:tx>
          <c:spPr>
            <a:solidFill>
              <a:schemeClr val="accent5"/>
            </a:solidFill>
            <a:ln>
              <a:noFill/>
            </a:ln>
            <a:effectLst/>
          </c:spPr>
          <c:invertIfNegative val="0"/>
          <c:cat>
            <c:strRef>
              <c:f>Sheet1!$A$14:$A$19</c:f>
              <c:strCache>
                <c:ptCount val="5"/>
                <c:pt idx="0">
                  <c:v>2021</c:v>
                </c:pt>
                <c:pt idx="1">
                  <c:v>2022</c:v>
                </c:pt>
                <c:pt idx="2">
                  <c:v>2023</c:v>
                </c:pt>
                <c:pt idx="3">
                  <c:v>2024</c:v>
                </c:pt>
                <c:pt idx="4">
                  <c:v>2025</c:v>
                </c:pt>
              </c:strCache>
            </c:strRef>
          </c:cat>
          <c:val>
            <c:numRef>
              <c:f>Sheet1!$F$14:$F$19</c:f>
              <c:numCache>
                <c:formatCode>General</c:formatCode>
                <c:ptCount val="5"/>
                <c:pt idx="0">
                  <c:v>133396</c:v>
                </c:pt>
                <c:pt idx="1">
                  <c:v>169469</c:v>
                </c:pt>
                <c:pt idx="2">
                  <c:v>209078</c:v>
                </c:pt>
                <c:pt idx="3">
                  <c:v>341147</c:v>
                </c:pt>
                <c:pt idx="4">
                  <c:v>181865</c:v>
                </c:pt>
              </c:numCache>
            </c:numRef>
          </c:val>
          <c:extLst>
            <c:ext xmlns:c16="http://schemas.microsoft.com/office/drawing/2014/chart" uri="{C3380CC4-5D6E-409C-BE32-E72D297353CC}">
              <c16:uniqueId val="{00000001-B207-4F62-B866-2225A436A9F4}"/>
            </c:ext>
          </c:extLst>
        </c:ser>
        <c:ser>
          <c:idx val="5"/>
          <c:order val="5"/>
          <c:tx>
            <c:strRef>
              <c:f>Sheet1!$G$12:$G$13</c:f>
              <c:strCache>
                <c:ptCount val="1"/>
                <c:pt idx="0">
                  <c:v>South Africa</c:v>
                </c:pt>
              </c:strCache>
            </c:strRef>
          </c:tx>
          <c:spPr>
            <a:solidFill>
              <a:schemeClr val="accent6"/>
            </a:solidFill>
            <a:ln>
              <a:noFill/>
            </a:ln>
            <a:effectLst/>
          </c:spPr>
          <c:invertIfNegative val="0"/>
          <c:cat>
            <c:strRef>
              <c:f>Sheet1!$A$14:$A$19</c:f>
              <c:strCache>
                <c:ptCount val="5"/>
                <c:pt idx="0">
                  <c:v>2021</c:v>
                </c:pt>
                <c:pt idx="1">
                  <c:v>2022</c:v>
                </c:pt>
                <c:pt idx="2">
                  <c:v>2023</c:v>
                </c:pt>
                <c:pt idx="3">
                  <c:v>2024</c:v>
                </c:pt>
                <c:pt idx="4">
                  <c:v>2025</c:v>
                </c:pt>
              </c:strCache>
            </c:strRef>
          </c:cat>
          <c:val>
            <c:numRef>
              <c:f>Sheet1!$G$14:$G$19</c:f>
              <c:numCache>
                <c:formatCode>General</c:formatCode>
                <c:ptCount val="5"/>
                <c:pt idx="0">
                  <c:v>110370</c:v>
                </c:pt>
                <c:pt idx="1">
                  <c:v>71943</c:v>
                </c:pt>
                <c:pt idx="2">
                  <c:v>146473</c:v>
                </c:pt>
                <c:pt idx="3">
                  <c:v>179669</c:v>
                </c:pt>
                <c:pt idx="4">
                  <c:v>160033</c:v>
                </c:pt>
              </c:numCache>
            </c:numRef>
          </c:val>
          <c:extLst>
            <c:ext xmlns:c16="http://schemas.microsoft.com/office/drawing/2014/chart" uri="{C3380CC4-5D6E-409C-BE32-E72D297353CC}">
              <c16:uniqueId val="{00000002-B207-4F62-B866-2225A436A9F4}"/>
            </c:ext>
          </c:extLst>
        </c:ser>
        <c:dLbls>
          <c:showLegendKey val="0"/>
          <c:showVal val="0"/>
          <c:showCatName val="0"/>
          <c:showSerName val="0"/>
          <c:showPercent val="0"/>
          <c:showBubbleSize val="0"/>
        </c:dLbls>
        <c:gapWidth val="150"/>
        <c:overlap val="100"/>
        <c:axId val="897792320"/>
        <c:axId val="897779840"/>
      </c:barChart>
      <c:catAx>
        <c:axId val="89779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79840"/>
        <c:crosses val="autoZero"/>
        <c:auto val="1"/>
        <c:lblAlgn val="ctr"/>
        <c:lblOffset val="100"/>
        <c:noMultiLvlLbl val="0"/>
      </c:catAx>
      <c:valAx>
        <c:axId val="897779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9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assignment.xlsx]Sheet1!PivotTable3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Sheet1!$B$21:$B$22</c:f>
              <c:strCache>
                <c:ptCount val="1"/>
                <c:pt idx="0">
                  <c:v>Egypt</c:v>
                </c:pt>
              </c:strCache>
            </c:strRef>
          </c:tx>
          <c:spPr>
            <a:solidFill>
              <a:schemeClr val="accent1"/>
            </a:solidFill>
            <a:ln>
              <a:noFill/>
            </a:ln>
            <a:effectLst/>
          </c:spPr>
          <c:invertIfNegative val="0"/>
          <c:cat>
            <c:strRef>
              <c:f>Sheet1!$A$23:$A$28</c:f>
              <c:strCache>
                <c:ptCount val="5"/>
                <c:pt idx="0">
                  <c:v>2021</c:v>
                </c:pt>
                <c:pt idx="1">
                  <c:v>2022</c:v>
                </c:pt>
                <c:pt idx="2">
                  <c:v>2023</c:v>
                </c:pt>
                <c:pt idx="3">
                  <c:v>2024</c:v>
                </c:pt>
                <c:pt idx="4">
                  <c:v>2025</c:v>
                </c:pt>
              </c:strCache>
            </c:strRef>
          </c:cat>
          <c:val>
            <c:numRef>
              <c:f>Sheet1!$B$23:$B$28</c:f>
              <c:numCache>
                <c:formatCode>_("$"* #,##0_);_("$"* \(#,##0\);_("$"* "-"??_);_(@_)</c:formatCode>
                <c:ptCount val="5"/>
                <c:pt idx="0">
                  <c:v>1490257</c:v>
                </c:pt>
                <c:pt idx="1">
                  <c:v>2653520</c:v>
                </c:pt>
                <c:pt idx="2">
                  <c:v>828514</c:v>
                </c:pt>
                <c:pt idx="3">
                  <c:v>1616690</c:v>
                </c:pt>
                <c:pt idx="4">
                  <c:v>2114607</c:v>
                </c:pt>
              </c:numCache>
            </c:numRef>
          </c:val>
          <c:extLst>
            <c:ext xmlns:c16="http://schemas.microsoft.com/office/drawing/2014/chart" uri="{C3380CC4-5D6E-409C-BE32-E72D297353CC}">
              <c16:uniqueId val="{00000000-FE85-4CD9-87FE-0D2E8EC9A512}"/>
            </c:ext>
          </c:extLst>
        </c:ser>
        <c:ser>
          <c:idx val="1"/>
          <c:order val="1"/>
          <c:tx>
            <c:strRef>
              <c:f>Sheet1!$C$21:$C$22</c:f>
              <c:strCache>
                <c:ptCount val="1"/>
                <c:pt idx="0">
                  <c:v>Ghana</c:v>
                </c:pt>
              </c:strCache>
            </c:strRef>
          </c:tx>
          <c:spPr>
            <a:solidFill>
              <a:schemeClr val="accent2"/>
            </a:solidFill>
            <a:ln>
              <a:noFill/>
            </a:ln>
            <a:effectLst/>
          </c:spPr>
          <c:invertIfNegative val="0"/>
          <c:cat>
            <c:strRef>
              <c:f>Sheet1!$A$23:$A$28</c:f>
              <c:strCache>
                <c:ptCount val="5"/>
                <c:pt idx="0">
                  <c:v>2021</c:v>
                </c:pt>
                <c:pt idx="1">
                  <c:v>2022</c:v>
                </c:pt>
                <c:pt idx="2">
                  <c:v>2023</c:v>
                </c:pt>
                <c:pt idx="3">
                  <c:v>2024</c:v>
                </c:pt>
                <c:pt idx="4">
                  <c:v>2025</c:v>
                </c:pt>
              </c:strCache>
            </c:strRef>
          </c:cat>
          <c:val>
            <c:numRef>
              <c:f>Sheet1!$C$23:$C$28</c:f>
              <c:numCache>
                <c:formatCode>_("$"* #,##0_);_("$"* \(#,##0\);_("$"* "-"??_);_(@_)</c:formatCode>
                <c:ptCount val="5"/>
                <c:pt idx="0">
                  <c:v>1442264</c:v>
                </c:pt>
                <c:pt idx="1">
                  <c:v>2659023</c:v>
                </c:pt>
                <c:pt idx="2">
                  <c:v>4266693</c:v>
                </c:pt>
                <c:pt idx="3">
                  <c:v>2118350</c:v>
                </c:pt>
                <c:pt idx="4">
                  <c:v>1463458</c:v>
                </c:pt>
              </c:numCache>
            </c:numRef>
          </c:val>
          <c:extLst>
            <c:ext xmlns:c16="http://schemas.microsoft.com/office/drawing/2014/chart" uri="{C3380CC4-5D6E-409C-BE32-E72D297353CC}">
              <c16:uniqueId val="{00000007-FE85-4CD9-87FE-0D2E8EC9A512}"/>
            </c:ext>
          </c:extLst>
        </c:ser>
        <c:ser>
          <c:idx val="2"/>
          <c:order val="2"/>
          <c:tx>
            <c:strRef>
              <c:f>Sheet1!$D$21:$D$22</c:f>
              <c:strCache>
                <c:ptCount val="1"/>
                <c:pt idx="0">
                  <c:v>Kenya</c:v>
                </c:pt>
              </c:strCache>
            </c:strRef>
          </c:tx>
          <c:spPr>
            <a:solidFill>
              <a:schemeClr val="accent3"/>
            </a:solidFill>
            <a:ln>
              <a:noFill/>
            </a:ln>
            <a:effectLst/>
          </c:spPr>
          <c:invertIfNegative val="0"/>
          <c:cat>
            <c:strRef>
              <c:f>Sheet1!$A$23:$A$28</c:f>
              <c:strCache>
                <c:ptCount val="5"/>
                <c:pt idx="0">
                  <c:v>2021</c:v>
                </c:pt>
                <c:pt idx="1">
                  <c:v>2022</c:v>
                </c:pt>
                <c:pt idx="2">
                  <c:v>2023</c:v>
                </c:pt>
                <c:pt idx="3">
                  <c:v>2024</c:v>
                </c:pt>
                <c:pt idx="4">
                  <c:v>2025</c:v>
                </c:pt>
              </c:strCache>
            </c:strRef>
          </c:cat>
          <c:val>
            <c:numRef>
              <c:f>Sheet1!$D$23:$D$28</c:f>
              <c:numCache>
                <c:formatCode>_("$"* #,##0_);_("$"* \(#,##0\);_("$"* "-"??_);_(@_)</c:formatCode>
                <c:ptCount val="5"/>
                <c:pt idx="0">
                  <c:v>3714120</c:v>
                </c:pt>
                <c:pt idx="2">
                  <c:v>3071771</c:v>
                </c:pt>
                <c:pt idx="3">
                  <c:v>1729541</c:v>
                </c:pt>
                <c:pt idx="4">
                  <c:v>4392754</c:v>
                </c:pt>
              </c:numCache>
            </c:numRef>
          </c:val>
          <c:extLst>
            <c:ext xmlns:c16="http://schemas.microsoft.com/office/drawing/2014/chart" uri="{C3380CC4-5D6E-409C-BE32-E72D297353CC}">
              <c16:uniqueId val="{00000008-FE85-4CD9-87FE-0D2E8EC9A512}"/>
            </c:ext>
          </c:extLst>
        </c:ser>
        <c:ser>
          <c:idx val="3"/>
          <c:order val="3"/>
          <c:tx>
            <c:strRef>
              <c:f>Sheet1!$E$21:$E$22</c:f>
              <c:strCache>
                <c:ptCount val="1"/>
                <c:pt idx="0">
                  <c:v>Morocco</c:v>
                </c:pt>
              </c:strCache>
            </c:strRef>
          </c:tx>
          <c:spPr>
            <a:solidFill>
              <a:schemeClr val="accent4"/>
            </a:solidFill>
            <a:ln>
              <a:noFill/>
            </a:ln>
            <a:effectLst/>
          </c:spPr>
          <c:invertIfNegative val="0"/>
          <c:cat>
            <c:strRef>
              <c:f>Sheet1!$A$23:$A$28</c:f>
              <c:strCache>
                <c:ptCount val="5"/>
                <c:pt idx="0">
                  <c:v>2021</c:v>
                </c:pt>
                <c:pt idx="1">
                  <c:v>2022</c:v>
                </c:pt>
                <c:pt idx="2">
                  <c:v>2023</c:v>
                </c:pt>
                <c:pt idx="3">
                  <c:v>2024</c:v>
                </c:pt>
                <c:pt idx="4">
                  <c:v>2025</c:v>
                </c:pt>
              </c:strCache>
            </c:strRef>
          </c:cat>
          <c:val>
            <c:numRef>
              <c:f>Sheet1!$E$23:$E$28</c:f>
              <c:numCache>
                <c:formatCode>_("$"* #,##0_);_("$"* \(#,##0\);_("$"* "-"??_);_(@_)</c:formatCode>
                <c:ptCount val="5"/>
                <c:pt idx="0">
                  <c:v>1717075</c:v>
                </c:pt>
                <c:pt idx="1">
                  <c:v>2340351</c:v>
                </c:pt>
                <c:pt idx="2">
                  <c:v>2218729</c:v>
                </c:pt>
                <c:pt idx="3">
                  <c:v>1199530</c:v>
                </c:pt>
                <c:pt idx="4">
                  <c:v>2214061</c:v>
                </c:pt>
              </c:numCache>
            </c:numRef>
          </c:val>
          <c:extLst>
            <c:ext xmlns:c16="http://schemas.microsoft.com/office/drawing/2014/chart" uri="{C3380CC4-5D6E-409C-BE32-E72D297353CC}">
              <c16:uniqueId val="{00000000-CC2E-4E07-AE20-F800699D3530}"/>
            </c:ext>
          </c:extLst>
        </c:ser>
        <c:ser>
          <c:idx val="4"/>
          <c:order val="4"/>
          <c:tx>
            <c:strRef>
              <c:f>Sheet1!$F$21:$F$22</c:f>
              <c:strCache>
                <c:ptCount val="1"/>
                <c:pt idx="0">
                  <c:v>Nigeria</c:v>
                </c:pt>
              </c:strCache>
            </c:strRef>
          </c:tx>
          <c:spPr>
            <a:solidFill>
              <a:schemeClr val="accent5"/>
            </a:solidFill>
            <a:ln>
              <a:noFill/>
            </a:ln>
            <a:effectLst/>
          </c:spPr>
          <c:invertIfNegative val="0"/>
          <c:cat>
            <c:strRef>
              <c:f>Sheet1!$A$23:$A$28</c:f>
              <c:strCache>
                <c:ptCount val="5"/>
                <c:pt idx="0">
                  <c:v>2021</c:v>
                </c:pt>
                <c:pt idx="1">
                  <c:v>2022</c:v>
                </c:pt>
                <c:pt idx="2">
                  <c:v>2023</c:v>
                </c:pt>
                <c:pt idx="3">
                  <c:v>2024</c:v>
                </c:pt>
                <c:pt idx="4">
                  <c:v>2025</c:v>
                </c:pt>
              </c:strCache>
            </c:strRef>
          </c:cat>
          <c:val>
            <c:numRef>
              <c:f>Sheet1!$F$23:$F$28</c:f>
              <c:numCache>
                <c:formatCode>_("$"* #,##0_);_("$"* \(#,##0\);_("$"* "-"??_);_(@_)</c:formatCode>
                <c:ptCount val="5"/>
                <c:pt idx="0">
                  <c:v>1482713</c:v>
                </c:pt>
                <c:pt idx="1">
                  <c:v>2158261</c:v>
                </c:pt>
                <c:pt idx="2">
                  <c:v>2721776</c:v>
                </c:pt>
                <c:pt idx="3">
                  <c:v>5016104</c:v>
                </c:pt>
                <c:pt idx="4">
                  <c:v>1867875</c:v>
                </c:pt>
              </c:numCache>
            </c:numRef>
          </c:val>
          <c:extLst>
            <c:ext xmlns:c16="http://schemas.microsoft.com/office/drawing/2014/chart" uri="{C3380CC4-5D6E-409C-BE32-E72D297353CC}">
              <c16:uniqueId val="{00000001-CC2E-4E07-AE20-F800699D3530}"/>
            </c:ext>
          </c:extLst>
        </c:ser>
        <c:ser>
          <c:idx val="5"/>
          <c:order val="5"/>
          <c:tx>
            <c:strRef>
              <c:f>Sheet1!$G$21:$G$22</c:f>
              <c:strCache>
                <c:ptCount val="1"/>
                <c:pt idx="0">
                  <c:v>South Africa</c:v>
                </c:pt>
              </c:strCache>
            </c:strRef>
          </c:tx>
          <c:spPr>
            <a:solidFill>
              <a:schemeClr val="accent6"/>
            </a:solidFill>
            <a:ln>
              <a:noFill/>
            </a:ln>
            <a:effectLst/>
          </c:spPr>
          <c:invertIfNegative val="0"/>
          <c:cat>
            <c:strRef>
              <c:f>Sheet1!$A$23:$A$28</c:f>
              <c:strCache>
                <c:ptCount val="5"/>
                <c:pt idx="0">
                  <c:v>2021</c:v>
                </c:pt>
                <c:pt idx="1">
                  <c:v>2022</c:v>
                </c:pt>
                <c:pt idx="2">
                  <c:v>2023</c:v>
                </c:pt>
                <c:pt idx="3">
                  <c:v>2024</c:v>
                </c:pt>
                <c:pt idx="4">
                  <c:v>2025</c:v>
                </c:pt>
              </c:strCache>
            </c:strRef>
          </c:cat>
          <c:val>
            <c:numRef>
              <c:f>Sheet1!$G$23:$G$28</c:f>
              <c:numCache>
                <c:formatCode>_("$"* #,##0_);_("$"* \(#,##0\);_("$"* "-"??_);_(@_)</c:formatCode>
                <c:ptCount val="5"/>
                <c:pt idx="0">
                  <c:v>1598768</c:v>
                </c:pt>
                <c:pt idx="1">
                  <c:v>1230247</c:v>
                </c:pt>
                <c:pt idx="2">
                  <c:v>2217195</c:v>
                </c:pt>
                <c:pt idx="3">
                  <c:v>2145138</c:v>
                </c:pt>
                <c:pt idx="4">
                  <c:v>2187649</c:v>
                </c:pt>
              </c:numCache>
            </c:numRef>
          </c:val>
          <c:extLst>
            <c:ext xmlns:c16="http://schemas.microsoft.com/office/drawing/2014/chart" uri="{C3380CC4-5D6E-409C-BE32-E72D297353CC}">
              <c16:uniqueId val="{00000002-CC2E-4E07-AE20-F800699D3530}"/>
            </c:ext>
          </c:extLst>
        </c:ser>
        <c:dLbls>
          <c:showLegendKey val="0"/>
          <c:showVal val="0"/>
          <c:showCatName val="0"/>
          <c:showSerName val="0"/>
          <c:showPercent val="0"/>
          <c:showBubbleSize val="0"/>
        </c:dLbls>
        <c:gapWidth val="150"/>
        <c:overlap val="100"/>
        <c:axId val="897789920"/>
        <c:axId val="897807200"/>
      </c:barChart>
      <c:catAx>
        <c:axId val="89778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07200"/>
        <c:crosses val="autoZero"/>
        <c:auto val="1"/>
        <c:lblAlgn val="ctr"/>
        <c:lblOffset val="100"/>
        <c:noMultiLvlLbl val="0"/>
      </c:catAx>
      <c:valAx>
        <c:axId val="897807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8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971550</xdr:colOff>
      <xdr:row>29</xdr:row>
      <xdr:rowOff>9526</xdr:rowOff>
    </xdr:from>
    <xdr:to>
      <xdr:col>4</xdr:col>
      <xdr:colOff>38100</xdr:colOff>
      <xdr:row>38</xdr:row>
      <xdr:rowOff>142876</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1522F77-2E74-FFF8-FB87-6EA07097560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85975" y="5534026"/>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923925</xdr:colOff>
      <xdr:row>29</xdr:row>
      <xdr:rowOff>19051</xdr:rowOff>
    </xdr:from>
    <xdr:to>
      <xdr:col>6</xdr:col>
      <xdr:colOff>152400</xdr:colOff>
      <xdr:row>40</xdr:row>
      <xdr:rowOff>123825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D74D9DED-194E-A1C6-65E6-D4CF68E867B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476625" y="5543551"/>
              <a:ext cx="1828800" cy="220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29</xdr:row>
      <xdr:rowOff>0</xdr:rowOff>
    </xdr:from>
    <xdr:to>
      <xdr:col>1</xdr:col>
      <xdr:colOff>857250</xdr:colOff>
      <xdr:row>38</xdr:row>
      <xdr:rowOff>28575</xdr:rowOff>
    </xdr:to>
    <mc:AlternateContent xmlns:mc="http://schemas.openxmlformats.org/markup-compatibility/2006" xmlns:a14="http://schemas.microsoft.com/office/drawing/2010/main">
      <mc:Choice Requires="a14">
        <xdr:graphicFrame macro="">
          <xdr:nvGraphicFramePr>
            <xdr:cNvPr id="6" name="Model">
              <a:extLst>
                <a:ext uri="{FF2B5EF4-FFF2-40B4-BE49-F238E27FC236}">
                  <a16:creationId xmlns:a16="http://schemas.microsoft.com/office/drawing/2014/main" id="{13B70CDD-F359-427E-4532-A42DFBA982E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42875" y="5524500"/>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104775</xdr:colOff>
      <xdr:row>0</xdr:row>
      <xdr:rowOff>19050</xdr:rowOff>
    </xdr:from>
    <xdr:to>
      <xdr:col>14</xdr:col>
      <xdr:colOff>323850</xdr:colOff>
      <xdr:row>10</xdr:row>
      <xdr:rowOff>171450</xdr:rowOff>
    </xdr:to>
    <xdr:graphicFrame macro="">
      <xdr:nvGraphicFramePr>
        <xdr:cNvPr id="7" name="Chart 6">
          <a:extLst>
            <a:ext uri="{FF2B5EF4-FFF2-40B4-BE49-F238E27FC236}">
              <a16:creationId xmlns:a16="http://schemas.microsoft.com/office/drawing/2014/main" id="{16207BA5-A8E6-2CB8-D5B9-4B90F1026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95249</xdr:colOff>
      <xdr:row>11</xdr:row>
      <xdr:rowOff>28575</xdr:rowOff>
    </xdr:from>
    <xdr:to>
      <xdr:col>14</xdr:col>
      <xdr:colOff>333375</xdr:colOff>
      <xdr:row>23</xdr:row>
      <xdr:rowOff>133350</xdr:rowOff>
    </xdr:to>
    <xdr:graphicFrame macro="">
      <xdr:nvGraphicFramePr>
        <xdr:cNvPr id="8" name="Chart 7">
          <a:extLst>
            <a:ext uri="{FF2B5EF4-FFF2-40B4-BE49-F238E27FC236}">
              <a16:creationId xmlns:a16="http://schemas.microsoft.com/office/drawing/2014/main" id="{E6D6C25F-650A-12FA-1795-A928477E9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95250</xdr:colOff>
      <xdr:row>23</xdr:row>
      <xdr:rowOff>142875</xdr:rowOff>
    </xdr:from>
    <xdr:to>
      <xdr:col>14</xdr:col>
      <xdr:colOff>314325</xdr:colOff>
      <xdr:row>38</xdr:row>
      <xdr:rowOff>28575</xdr:rowOff>
    </xdr:to>
    <xdr:graphicFrame macro="">
      <xdr:nvGraphicFramePr>
        <xdr:cNvPr id="9" name="Chart 8">
          <a:extLst>
            <a:ext uri="{FF2B5EF4-FFF2-40B4-BE49-F238E27FC236}">
              <a16:creationId xmlns:a16="http://schemas.microsoft.com/office/drawing/2014/main" id="{90C060C4-0FCD-5F38-FFBA-BE3E295C4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409575</xdr:colOff>
      <xdr:row>40</xdr:row>
      <xdr:rowOff>47625</xdr:rowOff>
    </xdr:from>
    <xdr:to>
      <xdr:col>4</xdr:col>
      <xdr:colOff>266700</xdr:colOff>
      <xdr:row>47</xdr:row>
      <xdr:rowOff>114301</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2292CF3E-3C17-EBD4-2A5E-A1639DEFFE3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09575" y="7667625"/>
              <a:ext cx="3333750" cy="14001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JAMEN" refreshedDate="46055.855535300929" createdVersion="8" refreshedVersion="8" minRefreshableVersion="3" recordCount="301" xr:uid="{E1DA85B4-1FA3-4B0D-BAB3-8BEFE17A8B56}">
  <cacheSource type="worksheet">
    <worksheetSource ref="A1:I1048576" sheet="Advanced_Sales_Data"/>
  </cacheSource>
  <cacheFields count="9">
    <cacheField name="Order Date" numFmtId="0">
      <sharedItems containsNonDate="0" containsDate="1" containsString="0" containsBlank="1" minDate="2021-01-13T00:00:00" maxDate="2025-12-28T00:00:00" count="274">
        <d v="2024-01-22T00:00:00"/>
        <d v="2023-11-11T00:00:00"/>
        <d v="2021-01-19T00:00:00"/>
        <d v="2024-05-14T00:00:00"/>
        <d v="2024-01-09T00:00:00"/>
        <d v="2021-11-23T00:00:00"/>
        <d v="2022-03-03T00:00:00"/>
        <d v="2025-05-02T00:00:00"/>
        <d v="2023-12-28T00:00:00"/>
        <d v="2023-05-11T00:00:00"/>
        <d v="2025-07-17T00:00:00"/>
        <d v="2022-08-28T00:00:00"/>
        <d v="2022-03-17T00:00:00"/>
        <d v="2021-03-07T00:00:00"/>
        <d v="2021-05-08T00:00:00"/>
        <d v="2025-05-11T00:00:00"/>
        <d v="2024-02-22T00:00:00"/>
        <d v="2023-04-10T00:00:00"/>
        <d v="2023-09-15T00:00:00"/>
        <d v="2024-12-18T00:00:00"/>
        <d v="2021-06-12T00:00:00"/>
        <d v="2024-06-06T00:00:00"/>
        <d v="2024-09-24T00:00:00"/>
        <d v="2025-12-19T00:00:00"/>
        <d v="2022-10-02T00:00:00"/>
        <d v="2021-04-27T00:00:00"/>
        <d v="2024-07-21T00:00:00"/>
        <d v="2024-06-11T00:00:00"/>
        <d v="2022-12-04T00:00:00"/>
        <d v="2021-12-04T00:00:00"/>
        <d v="2024-12-15T00:00:00"/>
        <d v="2025-09-16T00:00:00"/>
        <d v="2025-11-18T00:00:00"/>
        <d v="2023-05-19T00:00:00"/>
        <d v="2024-10-12T00:00:00"/>
        <d v="2022-09-12T00:00:00"/>
        <d v="2022-12-16T00:00:00"/>
        <d v="2024-06-21T00:00:00"/>
        <d v="2024-04-06T00:00:00"/>
        <d v="2025-09-08T00:00:00"/>
        <d v="2022-06-19T00:00:00"/>
        <d v="2023-08-09T00:00:00"/>
        <d v="2021-12-06T00:00:00"/>
        <d v="2025-08-27T00:00:00"/>
        <d v="2025-08-05T00:00:00"/>
        <d v="2022-07-25T00:00:00"/>
        <d v="2022-11-01T00:00:00"/>
        <d v="2022-02-14T00:00:00"/>
        <d v="2022-11-27T00:00:00"/>
        <d v="2021-03-01T00:00:00"/>
        <d v="2021-11-02T00:00:00"/>
        <d v="2023-10-17T00:00:00"/>
        <d v="2022-07-12T00:00:00"/>
        <d v="2024-08-07T00:00:00"/>
        <d v="2022-03-20T00:00:00"/>
        <d v="2023-01-11T00:00:00"/>
        <d v="2022-08-10T00:00:00"/>
        <d v="2021-12-22T00:00:00"/>
        <d v="2023-10-02T00:00:00"/>
        <d v="2025-03-19T00:00:00"/>
        <d v="2023-09-03T00:00:00"/>
        <d v="2021-09-05T00:00:00"/>
        <d v="2023-04-15T00:00:00"/>
        <d v="2023-05-01T00:00:00"/>
        <d v="2025-07-04T00:00:00"/>
        <d v="2023-12-12T00:00:00"/>
        <d v="2024-04-04T00:00:00"/>
        <d v="2024-01-05T00:00:00"/>
        <d v="2025-08-13T00:00:00"/>
        <d v="2023-02-03T00:00:00"/>
        <d v="2024-09-22T00:00:00"/>
        <d v="2021-02-13T00:00:00"/>
        <d v="2025-09-17T00:00:00"/>
        <d v="2025-02-13T00:00:00"/>
        <d v="2023-04-28T00:00:00"/>
        <d v="2025-08-21T00:00:00"/>
        <d v="2023-08-04T00:00:00"/>
        <d v="2023-04-27T00:00:00"/>
        <d v="2025-10-07T00:00:00"/>
        <d v="2025-01-28T00:00:00"/>
        <d v="2022-06-09T00:00:00"/>
        <d v="2023-07-15T00:00:00"/>
        <d v="2025-12-12T00:00:00"/>
        <d v="2024-06-19T00:00:00"/>
        <d v="2025-10-16T00:00:00"/>
        <d v="2022-01-23T00:00:00"/>
        <d v="2023-12-27T00:00:00"/>
        <d v="2024-07-27T00:00:00"/>
        <d v="2023-03-10T00:00:00"/>
        <d v="2022-09-26T00:00:00"/>
        <d v="2024-09-25T00:00:00"/>
        <d v="2023-07-12T00:00:00"/>
        <d v="2025-08-17T00:00:00"/>
        <d v="2025-07-23T00:00:00"/>
        <d v="2024-04-02T00:00:00"/>
        <d v="2025-01-12T00:00:00"/>
        <d v="2021-06-09T00:00:00"/>
        <d v="2025-05-07T00:00:00"/>
        <d v="2025-10-27T00:00:00"/>
        <d v="2021-06-17T00:00:00"/>
        <d v="2023-09-19T00:00:00"/>
        <d v="2021-06-21T00:00:00"/>
        <d v="2025-05-19T00:00:00"/>
        <d v="2021-10-18T00:00:00"/>
        <d v="2023-01-26T00:00:00"/>
        <d v="2025-12-10T00:00:00"/>
        <d v="2024-03-08T00:00:00"/>
        <d v="2022-09-13T00:00:00"/>
        <d v="2024-11-24T00:00:00"/>
        <d v="2021-08-23T00:00:00"/>
        <d v="2023-02-06T00:00:00"/>
        <d v="2021-03-15T00:00:00"/>
        <d v="2021-05-14T00:00:00"/>
        <d v="2025-09-11T00:00:00"/>
        <d v="2024-04-13T00:00:00"/>
        <d v="2022-09-24T00:00:00"/>
        <d v="2021-04-07T00:00:00"/>
        <d v="2024-08-03T00:00:00"/>
        <d v="2025-05-04T00:00:00"/>
        <d v="2025-10-15T00:00:00"/>
        <d v="2021-07-23T00:00:00"/>
        <d v="2021-11-28T00:00:00"/>
        <d v="2021-04-11T00:00:00"/>
        <d v="2023-05-14T00:00:00"/>
        <d v="2023-07-26T00:00:00"/>
        <d v="2025-05-05T00:00:00"/>
        <d v="2025-04-12T00:00:00"/>
        <d v="2024-11-12T00:00:00"/>
        <d v="2021-12-11T00:00:00"/>
        <d v="2025-03-13T00:00:00"/>
        <d v="2023-08-10T00:00:00"/>
        <d v="2024-03-23T00:00:00"/>
        <d v="2025-03-16T00:00:00"/>
        <d v="2021-02-20T00:00:00"/>
        <d v="2023-04-08T00:00:00"/>
        <d v="2023-08-02T00:00:00"/>
        <d v="2022-09-28T00:00:00"/>
        <d v="2024-09-19T00:00:00"/>
        <d v="2021-09-27T00:00:00"/>
        <d v="2023-06-04T00:00:00"/>
        <d v="2022-10-17T00:00:00"/>
        <d v="2021-01-13T00:00:00"/>
        <d v="2024-02-04T00:00:00"/>
        <d v="2025-04-07T00:00:00"/>
        <d v="2023-11-25T00:00:00"/>
        <d v="2021-03-24T00:00:00"/>
        <d v="2024-06-25T00:00:00"/>
        <d v="2021-10-16T00:00:00"/>
        <d v="2022-01-01T00:00:00"/>
        <d v="2024-08-19T00:00:00"/>
        <d v="2021-04-26T00:00:00"/>
        <d v="2021-01-15T00:00:00"/>
        <d v="2021-10-17T00:00:00"/>
        <d v="2024-09-10T00:00:00"/>
        <d v="2023-12-26T00:00:00"/>
        <d v="2021-01-21T00:00:00"/>
        <d v="2022-07-23T00:00:00"/>
        <d v="2021-08-12T00:00:00"/>
        <d v="2025-11-28T00:00:00"/>
        <d v="2025-10-22T00:00:00"/>
        <d v="2024-11-23T00:00:00"/>
        <d v="2023-11-18T00:00:00"/>
        <d v="2021-10-08T00:00:00"/>
        <d v="2022-07-15T00:00:00"/>
        <d v="2025-06-19T00:00:00"/>
        <d v="2021-11-25T00:00:00"/>
        <d v="2023-01-05T00:00:00"/>
        <d v="2023-11-23T00:00:00"/>
        <d v="2024-08-13T00:00:00"/>
        <d v="2025-01-01T00:00:00"/>
        <d v="2024-11-02T00:00:00"/>
        <d v="2023-08-08T00:00:00"/>
        <d v="2024-06-22T00:00:00"/>
        <d v="2023-09-27T00:00:00"/>
        <d v="2024-02-17T00:00:00"/>
        <d v="2024-06-09T00:00:00"/>
        <d v="2022-04-26T00:00:00"/>
        <d v="2025-07-15T00:00:00"/>
        <d v="2021-04-16T00:00:00"/>
        <d v="2024-04-08T00:00:00"/>
        <d v="2024-08-23T00:00:00"/>
        <d v="2021-03-02T00:00:00"/>
        <d v="2021-01-24T00:00:00"/>
        <d v="2023-04-21T00:00:00"/>
        <d v="2022-11-09T00:00:00"/>
        <d v="2025-09-05T00:00:00"/>
        <d v="2021-05-11T00:00:00"/>
        <d v="2023-09-25T00:00:00"/>
        <d v="2022-11-17T00:00:00"/>
        <d v="2024-12-04T00:00:00"/>
        <d v="2025-01-22T00:00:00"/>
        <d v="2022-07-17T00:00:00"/>
        <d v="2022-06-20T00:00:00"/>
        <d v="2024-10-27T00:00:00"/>
        <d v="2024-12-08T00:00:00"/>
        <d v="2025-04-08T00:00:00"/>
        <d v="2024-11-07T00:00:00"/>
        <d v="2023-01-09T00:00:00"/>
        <d v="2025-01-20T00:00:00"/>
        <d v="2024-08-27T00:00:00"/>
        <d v="2023-04-24T00:00:00"/>
        <d v="2022-10-04T00:00:00"/>
        <d v="2023-06-22T00:00:00"/>
        <d v="2025-12-27T00:00:00"/>
        <d v="2022-01-06T00:00:00"/>
        <d v="2025-02-01T00:00:00"/>
        <d v="2024-11-17T00:00:00"/>
        <d v="2023-06-01T00:00:00"/>
        <d v="2022-05-25T00:00:00"/>
        <d v="2023-08-22T00:00:00"/>
        <d v="2022-06-08T00:00:00"/>
        <d v="2024-02-05T00:00:00"/>
        <d v="2025-04-23T00:00:00"/>
        <d v="2022-10-18T00:00:00"/>
        <d v="2022-01-22T00:00:00"/>
        <d v="2021-12-18T00:00:00"/>
        <d v="2023-06-05T00:00:00"/>
        <d v="2025-08-15T00:00:00"/>
        <d v="2022-03-06T00:00:00"/>
        <d v="2024-07-05T00:00:00"/>
        <d v="2023-09-26T00:00:00"/>
        <d v="2021-12-14T00:00:00"/>
        <d v="2023-08-14T00:00:00"/>
        <d v="2023-09-18T00:00:00"/>
        <d v="2023-10-25T00:00:00"/>
        <d v="2024-11-19T00:00:00"/>
        <d v="2021-01-16T00:00:00"/>
        <d v="2025-07-10T00:00:00"/>
        <d v="2022-12-22T00:00:00"/>
        <d v="2025-06-05T00:00:00"/>
        <d v="2024-12-17T00:00:00"/>
        <d v="2021-10-19T00:00:00"/>
        <d v="2023-06-15T00:00:00"/>
        <d v="2021-02-06T00:00:00"/>
        <d v="2021-05-23T00:00:00"/>
        <d v="2022-04-17T00:00:00"/>
        <d v="2025-11-10T00:00:00"/>
        <d v="2022-09-03T00:00:00"/>
        <d v="2025-05-01T00:00:00"/>
        <d v="2022-08-06T00:00:00"/>
        <d v="2022-12-23T00:00:00"/>
        <d v="2021-11-22T00:00:00"/>
        <d v="2024-01-20T00:00:00"/>
        <d v="2023-08-21T00:00:00"/>
        <d v="2024-10-20T00:00:00"/>
        <d v="2021-02-10T00:00:00"/>
        <d v="2024-04-05T00:00:00"/>
        <d v="2024-12-11T00:00:00"/>
        <d v="2021-02-07T00:00:00"/>
        <d v="2024-10-06T00:00:00"/>
        <d v="2025-09-24T00:00:00"/>
        <d v="2023-07-14T00:00:00"/>
        <d v="2022-10-19T00:00:00"/>
        <d v="2023-02-04T00:00:00"/>
        <d v="2022-08-27T00:00:00"/>
        <d v="2021-07-24T00:00:00"/>
        <d v="2023-01-13T00:00:00"/>
        <d v="2024-11-21T00:00:00"/>
        <d v="2022-09-02T00:00:00"/>
        <d v="2024-06-26T00:00:00"/>
        <d v="2024-03-21T00:00:00"/>
        <d v="2023-12-06T00:00:00"/>
        <d v="2023-04-26T00:00:00"/>
        <d v="2023-11-01T00:00:00"/>
        <d v="2024-05-25T00:00:00"/>
        <d v="2022-04-18T00:00:00"/>
        <d v="2021-12-07T00:00:00"/>
        <d v="2023-07-11T00:00:00"/>
        <d v="2025-12-05T00:00:00"/>
        <d v="2025-04-25T00:00:00"/>
        <d v="2023-02-21T00:00:00"/>
        <d v="2023-11-20T00:00:00"/>
        <d v="2021-12-03T00:00:00"/>
        <m/>
      </sharedItems>
    </cacheField>
    <cacheField name="Year" numFmtId="0">
      <sharedItems containsString="0" containsBlank="1" containsNumber="1" containsInteger="1" minValue="2021" maxValue="2025" count="6">
        <n v="2024"/>
        <n v="2023"/>
        <n v="2021"/>
        <n v="2022"/>
        <n v="2025"/>
        <m/>
      </sharedItems>
    </cacheField>
    <cacheField name="Country" numFmtId="0">
      <sharedItems containsBlank="1" count="7">
        <s v="Egypt"/>
        <s v="Kenya"/>
        <s v="Nigeria"/>
        <s v="South Africa"/>
        <s v="Morocco"/>
        <s v="Ghana"/>
        <m/>
      </sharedItems>
    </cacheField>
    <cacheField name="Model" numFmtId="0">
      <sharedItems containsBlank="1" count="6">
        <s v="Model C"/>
        <s v="Model A"/>
        <s v="Model D"/>
        <s v="Model B"/>
        <s v="Model E"/>
        <m/>
      </sharedItems>
    </cacheField>
    <cacheField name="Units Sold" numFmtId="0">
      <sharedItems containsString="0" containsBlank="1" containsNumber="1" containsInteger="1" minValue="5035" maxValue="29983" count="300">
        <n v="5153"/>
        <n v="11156"/>
        <n v="23318"/>
        <n v="10759"/>
        <n v="20513"/>
        <n v="9340"/>
        <n v="22536"/>
        <n v="29921"/>
        <n v="21769"/>
        <n v="20357"/>
        <n v="28159"/>
        <n v="16919"/>
        <n v="28438"/>
        <n v="17479"/>
        <n v="8558"/>
        <n v="23478"/>
        <n v="29449"/>
        <n v="17093"/>
        <n v="12317"/>
        <n v="29162"/>
        <n v="21743"/>
        <n v="28420"/>
        <n v="24132"/>
        <n v="17817"/>
        <n v="27411"/>
        <n v="10349"/>
        <n v="24743"/>
        <n v="26796"/>
        <n v="19840"/>
        <n v="10117"/>
        <n v="21736"/>
        <n v="19870"/>
        <n v="8675"/>
        <n v="22476"/>
        <n v="11791"/>
        <n v="19886"/>
        <n v="19074"/>
        <n v="16765"/>
        <n v="12537"/>
        <n v="12276"/>
        <n v="19384"/>
        <n v="28213"/>
        <n v="25624"/>
        <n v="12403"/>
        <n v="7774"/>
        <n v="24138"/>
        <n v="12300"/>
        <n v="16287"/>
        <n v="20953"/>
        <n v="14492"/>
        <n v="29366"/>
        <n v="16725"/>
        <n v="9537"/>
        <n v="11239"/>
        <n v="16022"/>
        <n v="23140"/>
        <n v="24585"/>
        <n v="5392"/>
        <n v="9805"/>
        <n v="14494"/>
        <n v="12729"/>
        <n v="9758"/>
        <n v="27438"/>
        <n v="10743"/>
        <n v="19443"/>
        <n v="20864"/>
        <n v="19940"/>
        <n v="26712"/>
        <n v="19019"/>
        <n v="6955"/>
        <n v="8182"/>
        <n v="7600"/>
        <n v="22067"/>
        <n v="28254"/>
        <n v="26824"/>
        <n v="9895"/>
        <n v="10191"/>
        <n v="26101"/>
        <n v="29606"/>
        <n v="6845"/>
        <n v="28807"/>
        <n v="11885"/>
        <n v="18327"/>
        <n v="14417"/>
        <n v="19320"/>
        <n v="16155"/>
        <n v="6322"/>
        <n v="29390"/>
        <n v="8366"/>
        <n v="5373"/>
        <n v="22203"/>
        <n v="19786"/>
        <n v="21374"/>
        <n v="28539"/>
        <n v="23434"/>
        <n v="29266"/>
        <n v="14431"/>
        <n v="14665"/>
        <n v="9643"/>
        <n v="11332"/>
        <n v="28047"/>
        <n v="18920"/>
        <n v="22431"/>
        <n v="12487"/>
        <n v="5200"/>
        <n v="25701"/>
        <n v="27690"/>
        <n v="12389"/>
        <n v="5861"/>
        <n v="12495"/>
        <n v="25039"/>
        <n v="8827"/>
        <n v="10625"/>
        <n v="18614"/>
        <n v="8983"/>
        <n v="18120"/>
        <n v="24432"/>
        <n v="26724"/>
        <n v="8307"/>
        <n v="22946"/>
        <n v="29101"/>
        <n v="23216"/>
        <n v="5296"/>
        <n v="24303"/>
        <n v="9762"/>
        <n v="29873"/>
        <n v="6838"/>
        <n v="24854"/>
        <n v="10300"/>
        <n v="24794"/>
        <n v="6492"/>
        <n v="24711"/>
        <n v="28175"/>
        <n v="29128"/>
        <n v="19520"/>
        <n v="13906"/>
        <n v="13030"/>
        <n v="11570"/>
        <n v="9587"/>
        <n v="19888"/>
        <n v="14473"/>
        <n v="12416"/>
        <n v="25222"/>
        <n v="5310"/>
        <n v="22321"/>
        <n v="7169"/>
        <n v="26409"/>
        <n v="26951"/>
        <n v="16758"/>
        <n v="28277"/>
        <n v="16730"/>
        <n v="5629"/>
        <n v="20065"/>
        <n v="20085"/>
        <n v="23493"/>
        <n v="15725"/>
        <n v="29590"/>
        <n v="10039"/>
        <n v="21515"/>
        <n v="18022"/>
        <n v="13069"/>
        <n v="5035"/>
        <n v="16530"/>
        <n v="7037"/>
        <n v="24200"/>
        <n v="14854"/>
        <n v="29327"/>
        <n v="8368"/>
        <n v="28772"/>
        <n v="25307"/>
        <n v="19135"/>
        <n v="27558"/>
        <n v="29138"/>
        <n v="19511"/>
        <n v="14300"/>
        <n v="22533"/>
        <n v="26076"/>
        <n v="18216"/>
        <n v="17825"/>
        <n v="21495"/>
        <n v="17954"/>
        <n v="5477"/>
        <n v="29282"/>
        <n v="22511"/>
        <n v="28945"/>
        <n v="23879"/>
        <n v="26902"/>
        <n v="29909"/>
        <n v="22568"/>
        <n v="11895"/>
        <n v="11813"/>
        <n v="29569"/>
        <n v="12579"/>
        <n v="25839"/>
        <n v="18068"/>
        <n v="24546"/>
        <n v="11104"/>
        <n v="11180"/>
        <n v="14080"/>
        <n v="10975"/>
        <n v="22553"/>
        <n v="7300"/>
        <n v="13846"/>
        <n v="28854"/>
        <n v="10804"/>
        <n v="15917"/>
        <n v="5954"/>
        <n v="5703"/>
        <n v="11345"/>
        <n v="6194"/>
        <n v="22305"/>
        <n v="12853"/>
        <n v="19143"/>
        <n v="20594"/>
        <n v="20013"/>
        <n v="14209"/>
        <n v="6763"/>
        <n v="29078"/>
        <n v="20259"/>
        <n v="21551"/>
        <n v="13326"/>
        <n v="16858"/>
        <n v="20607"/>
        <n v="12841"/>
        <n v="23280"/>
        <n v="10534"/>
        <n v="28067"/>
        <n v="5255"/>
        <n v="7344"/>
        <n v="18541"/>
        <n v="28071"/>
        <n v="26362"/>
        <n v="20464"/>
        <n v="29983"/>
        <n v="13510"/>
        <n v="22242"/>
        <n v="20129"/>
        <n v="24330"/>
        <n v="21270"/>
        <n v="22070"/>
        <n v="27018"/>
        <n v="19401"/>
        <n v="22767"/>
        <n v="20274"/>
        <n v="27368"/>
        <n v="29228"/>
        <n v="12679"/>
        <n v="6543"/>
        <n v="28283"/>
        <n v="22917"/>
        <n v="22356"/>
        <n v="28653"/>
        <n v="9168"/>
        <n v="6921"/>
        <n v="24736"/>
        <n v="18368"/>
        <n v="15212"/>
        <n v="10843"/>
        <n v="14063"/>
        <n v="18328"/>
        <n v="6065"/>
        <n v="17080"/>
        <n v="26411"/>
        <n v="18394"/>
        <n v="10623"/>
        <n v="11693"/>
        <n v="23588"/>
        <n v="15046"/>
        <n v="5520"/>
        <n v="19524"/>
        <n v="10455"/>
        <n v="14634"/>
        <n v="22322"/>
        <n v="5369"/>
        <n v="27103"/>
        <n v="5193"/>
        <n v="11194"/>
        <n v="10965"/>
        <n v="21790"/>
        <n v="18708"/>
        <n v="5304"/>
        <n v="10809"/>
        <n v="21793"/>
        <n v="7762"/>
        <n v="16789"/>
        <n v="24908"/>
        <n v="14503"/>
        <n v="16830"/>
        <n v="17577"/>
        <n v="15314"/>
        <n v="15123"/>
        <n v="17944"/>
        <n v="11227"/>
        <n v="28025"/>
        <n v="9059"/>
        <n v="19345"/>
        <n v="17075"/>
        <n v="11251"/>
        <n v="7646"/>
        <m/>
      </sharedItems>
    </cacheField>
    <cacheField name="Sales ($)" numFmtId="165">
      <sharedItems containsString="0" containsBlank="1" containsNumber="1" containsInteger="1" minValue="100700" maxValue="1290388"/>
    </cacheField>
    <cacheField name="Cost ($)" numFmtId="165">
      <sharedItems containsString="0" containsBlank="1" containsNumber="1" containsInteger="1" minValue="68952" maxValue="779558"/>
    </cacheField>
    <cacheField name="Profit ($)" numFmtId="165">
      <sharedItems containsString="0" containsBlank="1" containsNumber="1" containsInteger="1" minValue="-162960" maxValue="830700"/>
    </cacheField>
    <cacheField name="Average Price($)" numFmtId="165">
      <sharedItems containsString="0" containsBlank="1" containsNumber="1" containsInteger="1" minValue="20" maxValue="45"/>
    </cacheField>
  </cacheFields>
  <extLst>
    <ext xmlns:x14="http://schemas.microsoft.com/office/spreadsheetml/2009/9/main" uri="{725AE2AE-9491-48be-B2B4-4EB974FC3084}">
      <x14:pivotCacheDefinition pivotCacheId="1584088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x v="0"/>
    <x v="0"/>
    <x v="0"/>
    <x v="0"/>
    <n v="123672"/>
    <n v="113366"/>
    <n v="10306"/>
    <n v="24"/>
  </r>
  <r>
    <x v="1"/>
    <x v="1"/>
    <x v="1"/>
    <x v="1"/>
    <x v="1"/>
    <n v="490864"/>
    <n v="278900"/>
    <n v="211964"/>
    <n v="44"/>
  </r>
  <r>
    <x v="2"/>
    <x v="2"/>
    <x v="2"/>
    <x v="2"/>
    <x v="2"/>
    <n v="489678"/>
    <n v="489678"/>
    <n v="0"/>
    <n v="21"/>
  </r>
  <r>
    <x v="3"/>
    <x v="0"/>
    <x v="1"/>
    <x v="2"/>
    <x v="3"/>
    <n v="279734"/>
    <n v="225939"/>
    <n v="53795"/>
    <n v="26"/>
  </r>
  <r>
    <x v="4"/>
    <x v="0"/>
    <x v="2"/>
    <x v="0"/>
    <x v="4"/>
    <n v="923085"/>
    <n v="533338"/>
    <n v="389747"/>
    <n v="45"/>
  </r>
  <r>
    <x v="5"/>
    <x v="2"/>
    <x v="1"/>
    <x v="3"/>
    <x v="5"/>
    <n v="317560"/>
    <n v="224160"/>
    <n v="93400"/>
    <n v="34"/>
  </r>
  <r>
    <x v="6"/>
    <x v="3"/>
    <x v="0"/>
    <x v="3"/>
    <x v="6"/>
    <n v="811296"/>
    <n v="270432"/>
    <n v="540864"/>
    <n v="36"/>
  </r>
  <r>
    <x v="7"/>
    <x v="4"/>
    <x v="1"/>
    <x v="4"/>
    <x v="7"/>
    <n v="1017314"/>
    <n v="568499"/>
    <n v="448815"/>
    <n v="34"/>
  </r>
  <r>
    <x v="8"/>
    <x v="1"/>
    <x v="3"/>
    <x v="1"/>
    <x v="8"/>
    <n v="740146"/>
    <n v="326535"/>
    <n v="413611"/>
    <n v="34"/>
  </r>
  <r>
    <x v="9"/>
    <x v="1"/>
    <x v="0"/>
    <x v="2"/>
    <x v="9"/>
    <n v="549639"/>
    <n v="488568"/>
    <n v="61071"/>
    <n v="27"/>
  </r>
  <r>
    <x v="10"/>
    <x v="4"/>
    <x v="0"/>
    <x v="1"/>
    <x v="10"/>
    <n v="619498"/>
    <n v="450544"/>
    <n v="168954"/>
    <n v="22"/>
  </r>
  <r>
    <x v="11"/>
    <x v="3"/>
    <x v="3"/>
    <x v="0"/>
    <x v="11"/>
    <n v="389137"/>
    <n v="321461"/>
    <n v="67676"/>
    <n v="23"/>
  </r>
  <r>
    <x v="12"/>
    <x v="3"/>
    <x v="4"/>
    <x v="1"/>
    <x v="12"/>
    <n v="625636"/>
    <n v="369694"/>
    <n v="255942"/>
    <n v="22"/>
  </r>
  <r>
    <x v="13"/>
    <x v="2"/>
    <x v="0"/>
    <x v="2"/>
    <x v="13"/>
    <n v="541849"/>
    <n v="297143"/>
    <n v="244706"/>
    <n v="31"/>
  </r>
  <r>
    <x v="14"/>
    <x v="2"/>
    <x v="1"/>
    <x v="4"/>
    <x v="14"/>
    <n v="171160"/>
    <n v="162602"/>
    <n v="8558"/>
    <n v="20"/>
  </r>
  <r>
    <x v="15"/>
    <x v="4"/>
    <x v="4"/>
    <x v="1"/>
    <x v="15"/>
    <n v="892164"/>
    <n v="610428"/>
    <n v="281736"/>
    <n v="38"/>
  </r>
  <r>
    <x v="16"/>
    <x v="0"/>
    <x v="2"/>
    <x v="3"/>
    <x v="16"/>
    <n v="795123"/>
    <n v="559531"/>
    <n v="235592"/>
    <n v="27"/>
  </r>
  <r>
    <x v="17"/>
    <x v="1"/>
    <x v="1"/>
    <x v="1"/>
    <x v="17"/>
    <n v="546976"/>
    <n v="393139"/>
    <n v="153837"/>
    <n v="32"/>
  </r>
  <r>
    <x v="18"/>
    <x v="1"/>
    <x v="0"/>
    <x v="3"/>
    <x v="18"/>
    <n v="283291"/>
    <n v="344876"/>
    <n v="-61585"/>
    <n v="23"/>
  </r>
  <r>
    <x v="19"/>
    <x v="0"/>
    <x v="5"/>
    <x v="2"/>
    <x v="19"/>
    <n v="1137318"/>
    <n v="349944"/>
    <n v="787374"/>
    <n v="39"/>
  </r>
  <r>
    <x v="20"/>
    <x v="2"/>
    <x v="5"/>
    <x v="3"/>
    <x v="20"/>
    <n v="500089"/>
    <n v="456603"/>
    <n v="43486"/>
    <n v="23"/>
  </r>
  <r>
    <x v="21"/>
    <x v="0"/>
    <x v="5"/>
    <x v="4"/>
    <x v="21"/>
    <n v="596820"/>
    <n v="341040"/>
    <n v="255780"/>
    <n v="21"/>
  </r>
  <r>
    <x v="22"/>
    <x v="0"/>
    <x v="4"/>
    <x v="1"/>
    <x v="22"/>
    <n v="892884"/>
    <n v="555036"/>
    <n v="337848"/>
    <n v="37"/>
  </r>
  <r>
    <x v="23"/>
    <x v="4"/>
    <x v="0"/>
    <x v="3"/>
    <x v="23"/>
    <n v="374157"/>
    <n v="374157"/>
    <n v="0"/>
    <n v="21"/>
  </r>
  <r>
    <x v="24"/>
    <x v="3"/>
    <x v="0"/>
    <x v="1"/>
    <x v="24"/>
    <n v="959385"/>
    <n v="438576"/>
    <n v="520809"/>
    <n v="35"/>
  </r>
  <r>
    <x v="25"/>
    <x v="2"/>
    <x v="4"/>
    <x v="0"/>
    <x v="25"/>
    <n v="217329"/>
    <n v="279423"/>
    <n v="-62094"/>
    <n v="21"/>
  </r>
  <r>
    <x v="26"/>
    <x v="0"/>
    <x v="2"/>
    <x v="1"/>
    <x v="26"/>
    <n v="668061"/>
    <n v="420631"/>
    <n v="247430"/>
    <n v="27"/>
  </r>
  <r>
    <x v="27"/>
    <x v="0"/>
    <x v="4"/>
    <x v="4"/>
    <x v="27"/>
    <n v="857472"/>
    <n v="750288"/>
    <n v="107184"/>
    <n v="32"/>
  </r>
  <r>
    <x v="28"/>
    <x v="3"/>
    <x v="2"/>
    <x v="3"/>
    <x v="28"/>
    <n v="833280"/>
    <n v="535680"/>
    <n v="297600"/>
    <n v="42"/>
  </r>
  <r>
    <x v="29"/>
    <x v="2"/>
    <x v="4"/>
    <x v="2"/>
    <x v="29"/>
    <n v="283276"/>
    <n v="283276"/>
    <n v="0"/>
    <n v="28"/>
  </r>
  <r>
    <x v="30"/>
    <x v="0"/>
    <x v="2"/>
    <x v="2"/>
    <x v="30"/>
    <n v="478192"/>
    <n v="260832"/>
    <n v="217360"/>
    <n v="22"/>
  </r>
  <r>
    <x v="31"/>
    <x v="4"/>
    <x v="1"/>
    <x v="2"/>
    <x v="31"/>
    <n v="695450"/>
    <n v="417270"/>
    <n v="278180"/>
    <n v="35"/>
  </r>
  <r>
    <x v="32"/>
    <x v="4"/>
    <x v="0"/>
    <x v="2"/>
    <x v="32"/>
    <n v="268925"/>
    <n v="234225"/>
    <n v="34700"/>
    <n v="31"/>
  </r>
  <r>
    <x v="33"/>
    <x v="1"/>
    <x v="5"/>
    <x v="0"/>
    <x v="33"/>
    <n v="899040"/>
    <n v="606852"/>
    <n v="292188"/>
    <n v="40"/>
  </r>
  <r>
    <x v="34"/>
    <x v="0"/>
    <x v="2"/>
    <x v="0"/>
    <x v="34"/>
    <n v="424476"/>
    <n v="318357"/>
    <n v="106119"/>
    <n v="36"/>
  </r>
  <r>
    <x v="35"/>
    <x v="3"/>
    <x v="5"/>
    <x v="2"/>
    <x v="35"/>
    <n v="775554"/>
    <n v="517036"/>
    <n v="258518"/>
    <n v="39"/>
  </r>
  <r>
    <x v="36"/>
    <x v="3"/>
    <x v="5"/>
    <x v="2"/>
    <x v="36"/>
    <n v="553146"/>
    <n v="514998"/>
    <n v="38148"/>
    <n v="29"/>
  </r>
  <r>
    <x v="37"/>
    <x v="0"/>
    <x v="3"/>
    <x v="3"/>
    <x v="37"/>
    <n v="486185"/>
    <n v="217945"/>
    <n v="268240"/>
    <n v="29"/>
  </r>
  <r>
    <x v="38"/>
    <x v="0"/>
    <x v="3"/>
    <x v="4"/>
    <x v="38"/>
    <n v="539091"/>
    <n v="238203"/>
    <n v="300888"/>
    <n v="43"/>
  </r>
  <r>
    <x v="30"/>
    <x v="0"/>
    <x v="3"/>
    <x v="0"/>
    <x v="39"/>
    <n v="306900"/>
    <n v="147312"/>
    <n v="159588"/>
    <n v="25"/>
  </r>
  <r>
    <x v="39"/>
    <x v="4"/>
    <x v="1"/>
    <x v="2"/>
    <x v="40"/>
    <n v="833512"/>
    <n v="445832"/>
    <n v="387680"/>
    <n v="43"/>
  </r>
  <r>
    <x v="40"/>
    <x v="3"/>
    <x v="5"/>
    <x v="4"/>
    <x v="41"/>
    <n v="564260"/>
    <n v="366769"/>
    <n v="197491"/>
    <n v="20"/>
  </r>
  <r>
    <x v="41"/>
    <x v="1"/>
    <x v="5"/>
    <x v="4"/>
    <x v="42"/>
    <n v="1101832"/>
    <n v="486856"/>
    <n v="614976"/>
    <n v="43"/>
  </r>
  <r>
    <x v="42"/>
    <x v="2"/>
    <x v="5"/>
    <x v="2"/>
    <x v="43"/>
    <n v="421702"/>
    <n v="235657"/>
    <n v="186045"/>
    <n v="34"/>
  </r>
  <r>
    <x v="19"/>
    <x v="0"/>
    <x v="2"/>
    <x v="4"/>
    <x v="44"/>
    <n v="303186"/>
    <n v="178802"/>
    <n v="124384"/>
    <n v="39"/>
  </r>
  <r>
    <x v="43"/>
    <x v="4"/>
    <x v="5"/>
    <x v="4"/>
    <x v="45"/>
    <n v="917244"/>
    <n v="651726"/>
    <n v="265518"/>
    <n v="38"/>
  </r>
  <r>
    <x v="44"/>
    <x v="4"/>
    <x v="4"/>
    <x v="0"/>
    <x v="46"/>
    <n v="258300"/>
    <n v="221400"/>
    <n v="36900"/>
    <n v="21"/>
  </r>
  <r>
    <x v="45"/>
    <x v="3"/>
    <x v="4"/>
    <x v="4"/>
    <x v="47"/>
    <n v="325740"/>
    <n v="260592"/>
    <n v="65148"/>
    <n v="20"/>
  </r>
  <r>
    <x v="46"/>
    <x v="3"/>
    <x v="0"/>
    <x v="2"/>
    <x v="48"/>
    <n v="754308"/>
    <n v="377154"/>
    <n v="377154"/>
    <n v="36"/>
  </r>
  <r>
    <x v="47"/>
    <x v="3"/>
    <x v="5"/>
    <x v="4"/>
    <x v="49"/>
    <n v="449252"/>
    <n v="347808"/>
    <n v="101444"/>
    <n v="31"/>
  </r>
  <r>
    <x v="48"/>
    <x v="3"/>
    <x v="5"/>
    <x v="3"/>
    <x v="50"/>
    <n v="1057176"/>
    <n v="675418"/>
    <n v="381758"/>
    <n v="36"/>
  </r>
  <r>
    <x v="49"/>
    <x v="2"/>
    <x v="2"/>
    <x v="4"/>
    <x v="51"/>
    <n v="434850"/>
    <n v="267600"/>
    <n v="167250"/>
    <n v="26"/>
  </r>
  <r>
    <x v="50"/>
    <x v="2"/>
    <x v="1"/>
    <x v="3"/>
    <x v="52"/>
    <n v="400554"/>
    <n v="209814"/>
    <n v="190740"/>
    <n v="42"/>
  </r>
  <r>
    <x v="51"/>
    <x v="1"/>
    <x v="5"/>
    <x v="3"/>
    <x v="53"/>
    <n v="449560"/>
    <n v="280975"/>
    <n v="168585"/>
    <n v="40"/>
  </r>
  <r>
    <x v="52"/>
    <x v="3"/>
    <x v="4"/>
    <x v="4"/>
    <x v="54"/>
    <n v="704968"/>
    <n v="240330"/>
    <n v="464638"/>
    <n v="44"/>
  </r>
  <r>
    <x v="53"/>
    <x v="0"/>
    <x v="4"/>
    <x v="1"/>
    <x v="55"/>
    <n v="532220"/>
    <n v="485940"/>
    <n v="46280"/>
    <n v="23"/>
  </r>
  <r>
    <x v="54"/>
    <x v="3"/>
    <x v="5"/>
    <x v="2"/>
    <x v="56"/>
    <n v="1032570"/>
    <n v="565455"/>
    <n v="467115"/>
    <n v="42"/>
  </r>
  <r>
    <x v="55"/>
    <x v="1"/>
    <x v="3"/>
    <x v="1"/>
    <x v="57"/>
    <n v="145584"/>
    <n v="86272"/>
    <n v="59312"/>
    <n v="27"/>
  </r>
  <r>
    <x v="56"/>
    <x v="3"/>
    <x v="4"/>
    <x v="2"/>
    <x v="58"/>
    <n v="274540"/>
    <n v="166685"/>
    <n v="107855"/>
    <n v="28"/>
  </r>
  <r>
    <x v="57"/>
    <x v="2"/>
    <x v="5"/>
    <x v="3"/>
    <x v="59"/>
    <n v="362350"/>
    <n v="202916"/>
    <n v="159434"/>
    <n v="25"/>
  </r>
  <r>
    <x v="58"/>
    <x v="1"/>
    <x v="1"/>
    <x v="4"/>
    <x v="60"/>
    <n v="356412"/>
    <n v="203664"/>
    <n v="152748"/>
    <n v="28"/>
  </r>
  <r>
    <x v="59"/>
    <x v="4"/>
    <x v="5"/>
    <x v="4"/>
    <x v="61"/>
    <n v="214676"/>
    <n v="234192"/>
    <n v="-19516"/>
    <n v="22"/>
  </r>
  <r>
    <x v="60"/>
    <x v="1"/>
    <x v="3"/>
    <x v="1"/>
    <x v="62"/>
    <n v="1097520"/>
    <n v="521322"/>
    <n v="576198"/>
    <n v="40"/>
  </r>
  <r>
    <x v="61"/>
    <x v="2"/>
    <x v="1"/>
    <x v="1"/>
    <x v="63"/>
    <n v="451206"/>
    <n v="257832"/>
    <n v="193374"/>
    <n v="42"/>
  </r>
  <r>
    <x v="62"/>
    <x v="1"/>
    <x v="5"/>
    <x v="2"/>
    <x v="64"/>
    <n v="602733"/>
    <n v="291645"/>
    <n v="311088"/>
    <n v="31"/>
  </r>
  <r>
    <x v="63"/>
    <x v="1"/>
    <x v="2"/>
    <x v="2"/>
    <x v="65"/>
    <n v="563328"/>
    <n v="438144"/>
    <n v="125184"/>
    <n v="27"/>
  </r>
  <r>
    <x v="64"/>
    <x v="4"/>
    <x v="5"/>
    <x v="3"/>
    <x v="66"/>
    <n v="897300"/>
    <n v="478560"/>
    <n v="418740"/>
    <n v="45"/>
  </r>
  <r>
    <x v="65"/>
    <x v="1"/>
    <x v="5"/>
    <x v="3"/>
    <x v="67"/>
    <n v="774648"/>
    <n v="587664"/>
    <n v="186984"/>
    <n v="29"/>
  </r>
  <r>
    <x v="66"/>
    <x v="0"/>
    <x v="5"/>
    <x v="2"/>
    <x v="68"/>
    <n v="494494"/>
    <n v="399399"/>
    <n v="95095"/>
    <n v="26"/>
  </r>
  <r>
    <x v="67"/>
    <x v="0"/>
    <x v="3"/>
    <x v="4"/>
    <x v="69"/>
    <n v="306020"/>
    <n v="180830"/>
    <n v="125190"/>
    <n v="44"/>
  </r>
  <r>
    <x v="68"/>
    <x v="4"/>
    <x v="2"/>
    <x v="3"/>
    <x v="70"/>
    <n v="270006"/>
    <n v="163640"/>
    <n v="106366"/>
    <n v="33"/>
  </r>
  <r>
    <x v="69"/>
    <x v="1"/>
    <x v="5"/>
    <x v="3"/>
    <x v="71"/>
    <n v="205200"/>
    <n v="144400"/>
    <n v="60800"/>
    <n v="27"/>
  </r>
  <r>
    <x v="70"/>
    <x v="0"/>
    <x v="1"/>
    <x v="2"/>
    <x v="72"/>
    <n v="838546"/>
    <n v="485474"/>
    <n v="353072"/>
    <n v="38"/>
  </r>
  <r>
    <x v="71"/>
    <x v="2"/>
    <x v="0"/>
    <x v="1"/>
    <x v="73"/>
    <n v="1243176"/>
    <n v="706350"/>
    <n v="536826"/>
    <n v="44"/>
  </r>
  <r>
    <x v="72"/>
    <x v="4"/>
    <x v="4"/>
    <x v="4"/>
    <x v="74"/>
    <n v="1046136"/>
    <n v="456008"/>
    <n v="590128"/>
    <n v="39"/>
  </r>
  <r>
    <x v="73"/>
    <x v="4"/>
    <x v="3"/>
    <x v="1"/>
    <x v="75"/>
    <n v="435380"/>
    <n v="148425"/>
    <n v="286955"/>
    <n v="44"/>
  </r>
  <r>
    <x v="74"/>
    <x v="1"/>
    <x v="4"/>
    <x v="2"/>
    <x v="76"/>
    <n v="244584"/>
    <n v="285348"/>
    <n v="-40764"/>
    <n v="24"/>
  </r>
  <r>
    <x v="75"/>
    <x v="4"/>
    <x v="0"/>
    <x v="4"/>
    <x v="77"/>
    <n v="991838"/>
    <n v="600323"/>
    <n v="391515"/>
    <n v="38"/>
  </r>
  <r>
    <x v="76"/>
    <x v="1"/>
    <x v="4"/>
    <x v="2"/>
    <x v="78"/>
    <n v="1154634"/>
    <n v="562514"/>
    <n v="592120"/>
    <n v="39"/>
  </r>
  <r>
    <x v="77"/>
    <x v="1"/>
    <x v="2"/>
    <x v="3"/>
    <x v="79"/>
    <n v="280645"/>
    <n v="164280"/>
    <n v="116365"/>
    <n v="41"/>
  </r>
  <r>
    <x v="78"/>
    <x v="4"/>
    <x v="5"/>
    <x v="4"/>
    <x v="80"/>
    <n v="576140"/>
    <n v="374491"/>
    <n v="201649"/>
    <n v="20"/>
  </r>
  <r>
    <x v="79"/>
    <x v="4"/>
    <x v="1"/>
    <x v="3"/>
    <x v="81"/>
    <n v="511055"/>
    <n v="142620"/>
    <n v="368435"/>
    <n v="43"/>
  </r>
  <r>
    <x v="80"/>
    <x v="3"/>
    <x v="2"/>
    <x v="3"/>
    <x v="82"/>
    <n v="714753"/>
    <n v="513156"/>
    <n v="201597"/>
    <n v="39"/>
  </r>
  <r>
    <x v="81"/>
    <x v="1"/>
    <x v="1"/>
    <x v="4"/>
    <x v="83"/>
    <n v="648765"/>
    <n v="259506"/>
    <n v="389259"/>
    <n v="45"/>
  </r>
  <r>
    <x v="82"/>
    <x v="4"/>
    <x v="2"/>
    <x v="2"/>
    <x v="84"/>
    <n v="792120"/>
    <n v="521640"/>
    <n v="270480"/>
    <n v="41"/>
  </r>
  <r>
    <x v="83"/>
    <x v="0"/>
    <x v="0"/>
    <x v="3"/>
    <x v="85"/>
    <n v="662355"/>
    <n v="371565"/>
    <n v="290790"/>
    <n v="41"/>
  </r>
  <r>
    <x v="84"/>
    <x v="4"/>
    <x v="3"/>
    <x v="2"/>
    <x v="86"/>
    <n v="145406"/>
    <n v="145406"/>
    <n v="0"/>
    <n v="23"/>
  </r>
  <r>
    <x v="85"/>
    <x v="3"/>
    <x v="5"/>
    <x v="3"/>
    <x v="87"/>
    <n v="1087430"/>
    <n v="558410"/>
    <n v="529020"/>
    <n v="37"/>
  </r>
  <r>
    <x v="86"/>
    <x v="1"/>
    <x v="3"/>
    <x v="0"/>
    <x v="88"/>
    <n v="284444"/>
    <n v="200784"/>
    <n v="83660"/>
    <n v="34"/>
  </r>
  <r>
    <x v="48"/>
    <x v="3"/>
    <x v="0"/>
    <x v="2"/>
    <x v="89"/>
    <n v="112833"/>
    <n v="85968"/>
    <n v="26865"/>
    <n v="21"/>
  </r>
  <r>
    <x v="87"/>
    <x v="0"/>
    <x v="2"/>
    <x v="4"/>
    <x v="90"/>
    <n v="954729"/>
    <n v="355248"/>
    <n v="599481"/>
    <n v="43"/>
  </r>
  <r>
    <x v="88"/>
    <x v="1"/>
    <x v="3"/>
    <x v="4"/>
    <x v="91"/>
    <n v="534222"/>
    <n v="415506"/>
    <n v="118716"/>
    <n v="27"/>
  </r>
  <r>
    <x v="89"/>
    <x v="3"/>
    <x v="4"/>
    <x v="2"/>
    <x v="92"/>
    <n v="619846"/>
    <n v="406106"/>
    <n v="213740"/>
    <n v="29"/>
  </r>
  <r>
    <x v="90"/>
    <x v="0"/>
    <x v="0"/>
    <x v="1"/>
    <x v="93"/>
    <n v="656397"/>
    <n v="570780"/>
    <n v="85617"/>
    <n v="23"/>
  </r>
  <r>
    <x v="91"/>
    <x v="1"/>
    <x v="1"/>
    <x v="1"/>
    <x v="94"/>
    <n v="937360"/>
    <n v="468680"/>
    <n v="468680"/>
    <n v="40"/>
  </r>
  <r>
    <x v="92"/>
    <x v="4"/>
    <x v="1"/>
    <x v="0"/>
    <x v="95"/>
    <n v="1258438"/>
    <n v="526788"/>
    <n v="731650"/>
    <n v="43"/>
  </r>
  <r>
    <x v="93"/>
    <x v="4"/>
    <x v="0"/>
    <x v="0"/>
    <x v="96"/>
    <n v="404068"/>
    <n v="317482"/>
    <n v="86586"/>
    <n v="28"/>
  </r>
  <r>
    <x v="94"/>
    <x v="0"/>
    <x v="2"/>
    <x v="4"/>
    <x v="97"/>
    <n v="498610"/>
    <n v="190645"/>
    <n v="307965"/>
    <n v="34"/>
  </r>
  <r>
    <x v="95"/>
    <x v="4"/>
    <x v="0"/>
    <x v="2"/>
    <x v="98"/>
    <n v="414649"/>
    <n v="221789"/>
    <n v="192860"/>
    <n v="43"/>
  </r>
  <r>
    <x v="96"/>
    <x v="2"/>
    <x v="5"/>
    <x v="0"/>
    <x v="99"/>
    <n v="441948"/>
    <n v="283300"/>
    <n v="158648"/>
    <n v="39"/>
  </r>
  <r>
    <x v="97"/>
    <x v="4"/>
    <x v="4"/>
    <x v="1"/>
    <x v="100"/>
    <n v="617034"/>
    <n v="504846"/>
    <n v="112188"/>
    <n v="22"/>
  </r>
  <r>
    <x v="98"/>
    <x v="4"/>
    <x v="0"/>
    <x v="3"/>
    <x v="101"/>
    <n v="700040"/>
    <n v="283800"/>
    <n v="416240"/>
    <n v="37"/>
  </r>
  <r>
    <x v="25"/>
    <x v="2"/>
    <x v="0"/>
    <x v="1"/>
    <x v="102"/>
    <n v="829947"/>
    <n v="493482"/>
    <n v="336465"/>
    <n v="37"/>
  </r>
  <r>
    <x v="99"/>
    <x v="2"/>
    <x v="4"/>
    <x v="1"/>
    <x v="103"/>
    <n v="462019"/>
    <n v="324662"/>
    <n v="137357"/>
    <n v="37"/>
  </r>
  <r>
    <x v="100"/>
    <x v="1"/>
    <x v="0"/>
    <x v="0"/>
    <x v="104"/>
    <n v="223600"/>
    <n v="93600"/>
    <n v="130000"/>
    <n v="43"/>
  </r>
  <r>
    <x v="101"/>
    <x v="2"/>
    <x v="4"/>
    <x v="4"/>
    <x v="105"/>
    <n v="1028040"/>
    <n v="385515"/>
    <n v="642525"/>
    <n v="40"/>
  </r>
  <r>
    <x v="102"/>
    <x v="4"/>
    <x v="1"/>
    <x v="4"/>
    <x v="106"/>
    <n v="1190670"/>
    <n v="359970"/>
    <n v="830700"/>
    <n v="43"/>
  </r>
  <r>
    <x v="103"/>
    <x v="2"/>
    <x v="0"/>
    <x v="1"/>
    <x v="107"/>
    <n v="309725"/>
    <n v="235391"/>
    <n v="74334"/>
    <n v="25"/>
  </r>
  <r>
    <x v="104"/>
    <x v="1"/>
    <x v="2"/>
    <x v="2"/>
    <x v="108"/>
    <n v="158247"/>
    <n v="146525"/>
    <n v="11722"/>
    <n v="27"/>
  </r>
  <r>
    <x v="78"/>
    <x v="4"/>
    <x v="3"/>
    <x v="2"/>
    <x v="109"/>
    <n v="249900"/>
    <n v="174930"/>
    <n v="74970"/>
    <n v="20"/>
  </r>
  <r>
    <x v="105"/>
    <x v="4"/>
    <x v="2"/>
    <x v="0"/>
    <x v="110"/>
    <n v="701092"/>
    <n v="475741"/>
    <n v="225351"/>
    <n v="28"/>
  </r>
  <r>
    <x v="106"/>
    <x v="0"/>
    <x v="3"/>
    <x v="0"/>
    <x v="111"/>
    <n v="379561"/>
    <n v="150059"/>
    <n v="229502"/>
    <n v="43"/>
  </r>
  <r>
    <x v="107"/>
    <x v="3"/>
    <x v="2"/>
    <x v="2"/>
    <x v="112"/>
    <n v="361250"/>
    <n v="191250"/>
    <n v="170000"/>
    <n v="34"/>
  </r>
  <r>
    <x v="108"/>
    <x v="0"/>
    <x v="3"/>
    <x v="3"/>
    <x v="113"/>
    <n v="781788"/>
    <n v="465350"/>
    <n v="316438"/>
    <n v="42"/>
  </r>
  <r>
    <x v="109"/>
    <x v="2"/>
    <x v="0"/>
    <x v="0"/>
    <x v="114"/>
    <n v="224575"/>
    <n v="143728"/>
    <n v="80847"/>
    <n v="25"/>
  </r>
  <r>
    <x v="110"/>
    <x v="1"/>
    <x v="0"/>
    <x v="2"/>
    <x v="115"/>
    <n v="453000"/>
    <n v="235560"/>
    <n v="217440"/>
    <n v="25"/>
  </r>
  <r>
    <x v="111"/>
    <x v="2"/>
    <x v="1"/>
    <x v="1"/>
    <x v="116"/>
    <n v="928416"/>
    <n v="439776"/>
    <n v="488640"/>
    <n v="38"/>
  </r>
  <r>
    <x v="112"/>
    <x v="2"/>
    <x v="5"/>
    <x v="0"/>
    <x v="117"/>
    <n v="641376"/>
    <n v="721548"/>
    <n v="-80172"/>
    <n v="24"/>
  </r>
  <r>
    <x v="113"/>
    <x v="4"/>
    <x v="5"/>
    <x v="1"/>
    <x v="118"/>
    <n v="274131"/>
    <n v="199368"/>
    <n v="74763"/>
    <n v="33"/>
  </r>
  <r>
    <x v="19"/>
    <x v="0"/>
    <x v="4"/>
    <x v="3"/>
    <x v="119"/>
    <n v="481866"/>
    <n v="458920"/>
    <n v="22946"/>
    <n v="21"/>
  </r>
  <r>
    <x v="50"/>
    <x v="2"/>
    <x v="3"/>
    <x v="4"/>
    <x v="24"/>
    <n v="657864"/>
    <n v="740097"/>
    <n v="-82233"/>
    <n v="24"/>
  </r>
  <r>
    <x v="114"/>
    <x v="0"/>
    <x v="5"/>
    <x v="4"/>
    <x v="120"/>
    <n v="814828"/>
    <n v="378313"/>
    <n v="436515"/>
    <n v="28"/>
  </r>
  <r>
    <x v="115"/>
    <x v="3"/>
    <x v="5"/>
    <x v="1"/>
    <x v="121"/>
    <n v="580400"/>
    <n v="371456"/>
    <n v="208944"/>
    <n v="25"/>
  </r>
  <r>
    <x v="116"/>
    <x v="2"/>
    <x v="1"/>
    <x v="0"/>
    <x v="122"/>
    <n v="174768"/>
    <n v="148288"/>
    <n v="26480"/>
    <n v="33"/>
  </r>
  <r>
    <x v="85"/>
    <x v="3"/>
    <x v="2"/>
    <x v="2"/>
    <x v="123"/>
    <n v="874908"/>
    <n v="631878"/>
    <n v="243030"/>
    <n v="36"/>
  </r>
  <r>
    <x v="117"/>
    <x v="0"/>
    <x v="1"/>
    <x v="3"/>
    <x v="124"/>
    <n v="351432"/>
    <n v="205002"/>
    <n v="146430"/>
    <n v="36"/>
  </r>
  <r>
    <x v="118"/>
    <x v="4"/>
    <x v="3"/>
    <x v="4"/>
    <x v="125"/>
    <n v="657206"/>
    <n v="358476"/>
    <n v="298730"/>
    <n v="22"/>
  </r>
  <r>
    <x v="119"/>
    <x v="4"/>
    <x v="0"/>
    <x v="1"/>
    <x v="126"/>
    <n v="177788"/>
    <n v="136760"/>
    <n v="41028"/>
    <n v="26"/>
  </r>
  <r>
    <x v="120"/>
    <x v="2"/>
    <x v="1"/>
    <x v="2"/>
    <x v="127"/>
    <n v="646204"/>
    <n v="571642"/>
    <n v="74562"/>
    <n v="26"/>
  </r>
  <r>
    <x v="121"/>
    <x v="2"/>
    <x v="3"/>
    <x v="3"/>
    <x v="128"/>
    <n v="412000"/>
    <n v="144200"/>
    <n v="267800"/>
    <n v="40"/>
  </r>
  <r>
    <x v="99"/>
    <x v="2"/>
    <x v="1"/>
    <x v="1"/>
    <x v="129"/>
    <n v="867790"/>
    <n v="644644"/>
    <n v="223146"/>
    <n v="35"/>
  </r>
  <r>
    <x v="115"/>
    <x v="3"/>
    <x v="0"/>
    <x v="3"/>
    <x v="130"/>
    <n v="207744"/>
    <n v="175284"/>
    <n v="32460"/>
    <n v="32"/>
  </r>
  <r>
    <x v="122"/>
    <x v="2"/>
    <x v="3"/>
    <x v="4"/>
    <x v="131"/>
    <n v="939018"/>
    <n v="469509"/>
    <n v="469509"/>
    <n v="38"/>
  </r>
  <r>
    <x v="123"/>
    <x v="1"/>
    <x v="5"/>
    <x v="2"/>
    <x v="132"/>
    <n v="1014300"/>
    <n v="563500"/>
    <n v="450800"/>
    <n v="36"/>
  </r>
  <r>
    <x v="124"/>
    <x v="1"/>
    <x v="1"/>
    <x v="3"/>
    <x v="133"/>
    <n v="902968"/>
    <n v="553432"/>
    <n v="349536"/>
    <n v="31"/>
  </r>
  <r>
    <x v="73"/>
    <x v="4"/>
    <x v="1"/>
    <x v="0"/>
    <x v="134"/>
    <n v="663680"/>
    <n v="312320"/>
    <n v="351360"/>
    <n v="34"/>
  </r>
  <r>
    <x v="125"/>
    <x v="4"/>
    <x v="3"/>
    <x v="2"/>
    <x v="135"/>
    <n v="458898"/>
    <n v="347650"/>
    <n v="111248"/>
    <n v="33"/>
  </r>
  <r>
    <x v="81"/>
    <x v="1"/>
    <x v="2"/>
    <x v="2"/>
    <x v="136"/>
    <n v="377870"/>
    <n v="260600"/>
    <n v="117270"/>
    <n v="29"/>
  </r>
  <r>
    <x v="126"/>
    <x v="4"/>
    <x v="2"/>
    <x v="2"/>
    <x v="137"/>
    <n v="289250"/>
    <n v="231400"/>
    <n v="57850"/>
    <n v="25"/>
  </r>
  <r>
    <x v="42"/>
    <x v="2"/>
    <x v="5"/>
    <x v="2"/>
    <x v="138"/>
    <n v="412241"/>
    <n v="201327"/>
    <n v="210914"/>
    <n v="43"/>
  </r>
  <r>
    <x v="127"/>
    <x v="0"/>
    <x v="2"/>
    <x v="0"/>
    <x v="139"/>
    <n v="855184"/>
    <n v="517088"/>
    <n v="338096"/>
    <n v="43"/>
  </r>
  <r>
    <x v="128"/>
    <x v="2"/>
    <x v="4"/>
    <x v="0"/>
    <x v="140"/>
    <n v="448663"/>
    <n v="274987"/>
    <n v="173676"/>
    <n v="31"/>
  </r>
  <r>
    <x v="129"/>
    <x v="4"/>
    <x v="2"/>
    <x v="2"/>
    <x v="141"/>
    <n v="558720"/>
    <n v="198656"/>
    <n v="360064"/>
    <n v="45"/>
  </r>
  <r>
    <x v="130"/>
    <x v="1"/>
    <x v="1"/>
    <x v="0"/>
    <x v="142"/>
    <n v="958436"/>
    <n v="706216"/>
    <n v="252220"/>
    <n v="38"/>
  </r>
  <r>
    <x v="131"/>
    <x v="0"/>
    <x v="0"/>
    <x v="0"/>
    <x v="143"/>
    <n v="191160"/>
    <n v="106200"/>
    <n v="84960"/>
    <n v="36"/>
  </r>
  <r>
    <x v="132"/>
    <x v="4"/>
    <x v="3"/>
    <x v="4"/>
    <x v="144"/>
    <n v="736593"/>
    <n v="513383"/>
    <n v="223210"/>
    <n v="33"/>
  </r>
  <r>
    <x v="133"/>
    <x v="2"/>
    <x v="1"/>
    <x v="0"/>
    <x v="145"/>
    <n v="301098"/>
    <n v="121873"/>
    <n v="179225"/>
    <n v="42"/>
  </r>
  <r>
    <x v="134"/>
    <x v="1"/>
    <x v="5"/>
    <x v="1"/>
    <x v="146"/>
    <n v="897906"/>
    <n v="713043"/>
    <n v="184863"/>
    <n v="34"/>
  </r>
  <r>
    <x v="135"/>
    <x v="1"/>
    <x v="4"/>
    <x v="0"/>
    <x v="147"/>
    <n v="646824"/>
    <n v="673775"/>
    <n v="-26951"/>
    <n v="24"/>
  </r>
  <r>
    <x v="136"/>
    <x v="3"/>
    <x v="4"/>
    <x v="2"/>
    <x v="148"/>
    <n v="586530"/>
    <n v="268128"/>
    <n v="318402"/>
    <n v="35"/>
  </r>
  <r>
    <x v="137"/>
    <x v="0"/>
    <x v="4"/>
    <x v="3"/>
    <x v="149"/>
    <n v="650371"/>
    <n v="480709"/>
    <n v="169662"/>
    <n v="23"/>
  </r>
  <r>
    <x v="138"/>
    <x v="2"/>
    <x v="4"/>
    <x v="3"/>
    <x v="150"/>
    <n v="652470"/>
    <n v="250950"/>
    <n v="401520"/>
    <n v="39"/>
  </r>
  <r>
    <x v="139"/>
    <x v="1"/>
    <x v="5"/>
    <x v="1"/>
    <x v="151"/>
    <n v="140725"/>
    <n v="140725"/>
    <n v="0"/>
    <n v="25"/>
  </r>
  <r>
    <x v="140"/>
    <x v="3"/>
    <x v="3"/>
    <x v="0"/>
    <x v="152"/>
    <n v="822665"/>
    <n v="441430"/>
    <n v="381235"/>
    <n v="41"/>
  </r>
  <r>
    <x v="141"/>
    <x v="2"/>
    <x v="1"/>
    <x v="0"/>
    <x v="153"/>
    <n v="542295"/>
    <n v="361530"/>
    <n v="180765"/>
    <n v="27"/>
  </r>
  <r>
    <x v="142"/>
    <x v="0"/>
    <x v="2"/>
    <x v="4"/>
    <x v="154"/>
    <n v="1057185"/>
    <n v="328902"/>
    <n v="728283"/>
    <n v="45"/>
  </r>
  <r>
    <x v="143"/>
    <x v="4"/>
    <x v="5"/>
    <x v="3"/>
    <x v="155"/>
    <n v="676175"/>
    <n v="235875"/>
    <n v="440300"/>
    <n v="43"/>
  </r>
  <r>
    <x v="144"/>
    <x v="1"/>
    <x v="1"/>
    <x v="3"/>
    <x v="156"/>
    <n v="1035650"/>
    <n v="532620"/>
    <n v="503030"/>
    <n v="35"/>
  </r>
  <r>
    <x v="145"/>
    <x v="2"/>
    <x v="0"/>
    <x v="3"/>
    <x v="157"/>
    <n v="261014"/>
    <n v="210819"/>
    <n v="50195"/>
    <n v="26"/>
  </r>
  <r>
    <x v="146"/>
    <x v="0"/>
    <x v="3"/>
    <x v="4"/>
    <x v="158"/>
    <n v="537875"/>
    <n v="279695"/>
    <n v="258180"/>
    <n v="25"/>
  </r>
  <r>
    <x v="147"/>
    <x v="2"/>
    <x v="1"/>
    <x v="3"/>
    <x v="159"/>
    <n v="558682"/>
    <n v="396484"/>
    <n v="162198"/>
    <n v="31"/>
  </r>
  <r>
    <x v="148"/>
    <x v="3"/>
    <x v="2"/>
    <x v="4"/>
    <x v="160"/>
    <n v="405139"/>
    <n v="339794"/>
    <n v="65345"/>
    <n v="31"/>
  </r>
  <r>
    <x v="149"/>
    <x v="0"/>
    <x v="1"/>
    <x v="0"/>
    <x v="161"/>
    <n v="100700"/>
    <n v="90630"/>
    <n v="10070"/>
    <n v="20"/>
  </r>
  <r>
    <x v="150"/>
    <x v="2"/>
    <x v="2"/>
    <x v="0"/>
    <x v="162"/>
    <n v="562020"/>
    <n v="314070"/>
    <n v="247950"/>
    <n v="34"/>
  </r>
  <r>
    <x v="151"/>
    <x v="2"/>
    <x v="1"/>
    <x v="1"/>
    <x v="163"/>
    <n v="267406"/>
    <n v="105555"/>
    <n v="161851"/>
    <n v="38"/>
  </r>
  <r>
    <x v="152"/>
    <x v="2"/>
    <x v="1"/>
    <x v="4"/>
    <x v="164"/>
    <n v="629200"/>
    <n v="677600"/>
    <n v="-48400"/>
    <n v="26"/>
  </r>
  <r>
    <x v="153"/>
    <x v="0"/>
    <x v="0"/>
    <x v="3"/>
    <x v="165"/>
    <n v="490182"/>
    <n v="267372"/>
    <n v="222810"/>
    <n v="33"/>
  </r>
  <r>
    <x v="154"/>
    <x v="1"/>
    <x v="5"/>
    <x v="1"/>
    <x v="166"/>
    <n v="1290388"/>
    <n v="645194"/>
    <n v="645194"/>
    <n v="44"/>
  </r>
  <r>
    <x v="155"/>
    <x v="2"/>
    <x v="1"/>
    <x v="1"/>
    <x v="167"/>
    <n v="251040"/>
    <n v="234304"/>
    <n v="16736"/>
    <n v="30"/>
  </r>
  <r>
    <x v="156"/>
    <x v="3"/>
    <x v="0"/>
    <x v="2"/>
    <x v="168"/>
    <n v="690528"/>
    <n v="546668"/>
    <n v="143860"/>
    <n v="24"/>
  </r>
  <r>
    <x v="157"/>
    <x v="2"/>
    <x v="4"/>
    <x v="1"/>
    <x v="169"/>
    <n v="607368"/>
    <n v="582061"/>
    <n v="25307"/>
    <n v="24"/>
  </r>
  <r>
    <x v="158"/>
    <x v="4"/>
    <x v="5"/>
    <x v="1"/>
    <x v="170"/>
    <n v="440105"/>
    <n v="287025"/>
    <n v="153080"/>
    <n v="23"/>
  </r>
  <r>
    <x v="159"/>
    <x v="4"/>
    <x v="1"/>
    <x v="0"/>
    <x v="171"/>
    <n v="1240110"/>
    <n v="661392"/>
    <n v="578718"/>
    <n v="45"/>
  </r>
  <r>
    <x v="160"/>
    <x v="0"/>
    <x v="3"/>
    <x v="4"/>
    <x v="172"/>
    <n v="932416"/>
    <n v="495346"/>
    <n v="437070"/>
    <n v="32"/>
  </r>
  <r>
    <x v="161"/>
    <x v="1"/>
    <x v="4"/>
    <x v="1"/>
    <x v="173"/>
    <n v="858484"/>
    <n v="234132"/>
    <n v="624352"/>
    <n v="44"/>
  </r>
  <r>
    <x v="162"/>
    <x v="2"/>
    <x v="1"/>
    <x v="0"/>
    <x v="174"/>
    <n v="457600"/>
    <n v="357500"/>
    <n v="100100"/>
    <n v="32"/>
  </r>
  <r>
    <x v="163"/>
    <x v="3"/>
    <x v="4"/>
    <x v="0"/>
    <x v="175"/>
    <n v="766122"/>
    <n v="540792"/>
    <n v="225330"/>
    <n v="34"/>
  </r>
  <r>
    <x v="164"/>
    <x v="4"/>
    <x v="1"/>
    <x v="4"/>
    <x v="176"/>
    <n v="964812"/>
    <n v="547596"/>
    <n v="417216"/>
    <n v="37"/>
  </r>
  <r>
    <x v="165"/>
    <x v="2"/>
    <x v="2"/>
    <x v="3"/>
    <x v="177"/>
    <n v="746856"/>
    <n v="400752"/>
    <n v="346104"/>
    <n v="41"/>
  </r>
  <r>
    <x v="166"/>
    <x v="1"/>
    <x v="2"/>
    <x v="4"/>
    <x v="178"/>
    <n v="766475"/>
    <n v="285200"/>
    <n v="481275"/>
    <n v="43"/>
  </r>
  <r>
    <x v="167"/>
    <x v="1"/>
    <x v="5"/>
    <x v="4"/>
    <x v="179"/>
    <n v="623355"/>
    <n v="601860"/>
    <n v="21495"/>
    <n v="29"/>
  </r>
  <r>
    <x v="168"/>
    <x v="0"/>
    <x v="1"/>
    <x v="2"/>
    <x v="180"/>
    <n v="412942"/>
    <n v="502712"/>
    <n v="-89770"/>
    <n v="23"/>
  </r>
  <r>
    <x v="169"/>
    <x v="4"/>
    <x v="2"/>
    <x v="0"/>
    <x v="181"/>
    <n v="208126"/>
    <n v="87632"/>
    <n v="120494"/>
    <n v="38"/>
  </r>
  <r>
    <x v="170"/>
    <x v="0"/>
    <x v="5"/>
    <x v="2"/>
    <x v="182"/>
    <n v="849178"/>
    <n v="702768"/>
    <n v="146410"/>
    <n v="29"/>
  </r>
  <r>
    <x v="171"/>
    <x v="1"/>
    <x v="0"/>
    <x v="1"/>
    <x v="183"/>
    <n v="765374"/>
    <n v="630308"/>
    <n v="135066"/>
    <n v="34"/>
  </r>
  <r>
    <x v="172"/>
    <x v="0"/>
    <x v="3"/>
    <x v="3"/>
    <x v="184"/>
    <n v="694680"/>
    <n v="694680"/>
    <n v="0"/>
    <n v="24"/>
  </r>
  <r>
    <x v="173"/>
    <x v="1"/>
    <x v="2"/>
    <x v="4"/>
    <x v="185"/>
    <n v="573096"/>
    <n v="334306"/>
    <n v="238790"/>
    <n v="24"/>
  </r>
  <r>
    <x v="174"/>
    <x v="0"/>
    <x v="2"/>
    <x v="1"/>
    <x v="186"/>
    <n v="1156786"/>
    <n v="457334"/>
    <n v="699452"/>
    <n v="43"/>
  </r>
  <r>
    <x v="175"/>
    <x v="0"/>
    <x v="2"/>
    <x v="2"/>
    <x v="187"/>
    <n v="598180"/>
    <n v="358908"/>
    <n v="239272"/>
    <n v="20"/>
  </r>
  <r>
    <x v="176"/>
    <x v="3"/>
    <x v="4"/>
    <x v="4"/>
    <x v="188"/>
    <n v="677040"/>
    <n v="315952"/>
    <n v="361088"/>
    <n v="30"/>
  </r>
  <r>
    <x v="177"/>
    <x v="4"/>
    <x v="2"/>
    <x v="1"/>
    <x v="189"/>
    <n v="309270"/>
    <n v="309270"/>
    <n v="0"/>
    <n v="26"/>
  </r>
  <r>
    <x v="178"/>
    <x v="2"/>
    <x v="1"/>
    <x v="2"/>
    <x v="190"/>
    <n v="472520"/>
    <n v="283512"/>
    <n v="189008"/>
    <n v="40"/>
  </r>
  <r>
    <x v="179"/>
    <x v="0"/>
    <x v="2"/>
    <x v="4"/>
    <x v="191"/>
    <n v="1064484"/>
    <n v="709656"/>
    <n v="354828"/>
    <n v="36"/>
  </r>
  <r>
    <x v="180"/>
    <x v="0"/>
    <x v="4"/>
    <x v="2"/>
    <x v="192"/>
    <n v="314475"/>
    <n v="301896"/>
    <n v="12579"/>
    <n v="25"/>
  </r>
  <r>
    <x v="181"/>
    <x v="2"/>
    <x v="2"/>
    <x v="0"/>
    <x v="193"/>
    <n v="801009"/>
    <n v="439263"/>
    <n v="361746"/>
    <n v="31"/>
  </r>
  <r>
    <x v="182"/>
    <x v="2"/>
    <x v="5"/>
    <x v="0"/>
    <x v="194"/>
    <n v="668516"/>
    <n v="487836"/>
    <n v="180680"/>
    <n v="37"/>
  </r>
  <r>
    <x v="183"/>
    <x v="1"/>
    <x v="5"/>
    <x v="2"/>
    <x v="195"/>
    <n v="1104570"/>
    <n v="417282"/>
    <n v="687288"/>
    <n v="45"/>
  </r>
  <r>
    <x v="19"/>
    <x v="0"/>
    <x v="4"/>
    <x v="0"/>
    <x v="196"/>
    <n v="377536"/>
    <n v="144352"/>
    <n v="233184"/>
    <n v="34"/>
  </r>
  <r>
    <x v="184"/>
    <x v="3"/>
    <x v="3"/>
    <x v="4"/>
    <x v="197"/>
    <n v="268320"/>
    <n v="134160"/>
    <n v="134160"/>
    <n v="24"/>
  </r>
  <r>
    <x v="185"/>
    <x v="4"/>
    <x v="0"/>
    <x v="1"/>
    <x v="198"/>
    <n v="394240"/>
    <n v="211200"/>
    <n v="183040"/>
    <n v="28"/>
  </r>
  <r>
    <x v="186"/>
    <x v="2"/>
    <x v="2"/>
    <x v="2"/>
    <x v="199"/>
    <n v="230475"/>
    <n v="219500"/>
    <n v="10975"/>
    <n v="21"/>
  </r>
  <r>
    <x v="187"/>
    <x v="1"/>
    <x v="2"/>
    <x v="0"/>
    <x v="200"/>
    <n v="879567"/>
    <n v="631484"/>
    <n v="248083"/>
    <n v="39"/>
  </r>
  <r>
    <x v="188"/>
    <x v="3"/>
    <x v="4"/>
    <x v="1"/>
    <x v="201"/>
    <n v="146000"/>
    <n v="109500"/>
    <n v="36500"/>
    <n v="20"/>
  </r>
  <r>
    <x v="189"/>
    <x v="0"/>
    <x v="1"/>
    <x v="0"/>
    <x v="202"/>
    <n v="595378"/>
    <n v="304612"/>
    <n v="290766"/>
    <n v="43"/>
  </r>
  <r>
    <x v="190"/>
    <x v="4"/>
    <x v="4"/>
    <x v="1"/>
    <x v="203"/>
    <n v="1067598"/>
    <n v="375102"/>
    <n v="692496"/>
    <n v="37"/>
  </r>
  <r>
    <x v="191"/>
    <x v="3"/>
    <x v="4"/>
    <x v="0"/>
    <x v="204"/>
    <n v="432160"/>
    <n v="140452"/>
    <n v="291708"/>
    <n v="40"/>
  </r>
  <r>
    <x v="192"/>
    <x v="3"/>
    <x v="0"/>
    <x v="4"/>
    <x v="205"/>
    <n v="445676"/>
    <n v="382008"/>
    <n v="63668"/>
    <n v="28"/>
  </r>
  <r>
    <x v="193"/>
    <x v="0"/>
    <x v="0"/>
    <x v="1"/>
    <x v="206"/>
    <n v="267930"/>
    <n v="160758"/>
    <n v="107172"/>
    <n v="45"/>
  </r>
  <r>
    <x v="194"/>
    <x v="0"/>
    <x v="3"/>
    <x v="0"/>
    <x v="207"/>
    <n v="228120"/>
    <n v="159684"/>
    <n v="68436"/>
    <n v="40"/>
  </r>
  <r>
    <x v="195"/>
    <x v="4"/>
    <x v="2"/>
    <x v="3"/>
    <x v="208"/>
    <n v="329005"/>
    <n v="294970"/>
    <n v="34035"/>
    <n v="29"/>
  </r>
  <r>
    <x v="196"/>
    <x v="0"/>
    <x v="1"/>
    <x v="2"/>
    <x v="209"/>
    <n v="247760"/>
    <n v="105298"/>
    <n v="142462"/>
    <n v="40"/>
  </r>
  <r>
    <x v="197"/>
    <x v="1"/>
    <x v="1"/>
    <x v="4"/>
    <x v="210"/>
    <n v="602235"/>
    <n v="624540"/>
    <n v="-22305"/>
    <n v="27"/>
  </r>
  <r>
    <x v="198"/>
    <x v="4"/>
    <x v="2"/>
    <x v="1"/>
    <x v="211"/>
    <n v="347031"/>
    <n v="359884"/>
    <n v="-12853"/>
    <n v="27"/>
  </r>
  <r>
    <x v="199"/>
    <x v="0"/>
    <x v="0"/>
    <x v="3"/>
    <x v="212"/>
    <n v="746577"/>
    <n v="344574"/>
    <n v="402003"/>
    <n v="39"/>
  </r>
  <r>
    <x v="200"/>
    <x v="1"/>
    <x v="2"/>
    <x v="3"/>
    <x v="213"/>
    <n v="926730"/>
    <n v="473662"/>
    <n v="453068"/>
    <n v="45"/>
  </r>
  <r>
    <x v="201"/>
    <x v="3"/>
    <x v="2"/>
    <x v="3"/>
    <x v="214"/>
    <n v="680442"/>
    <n v="440286"/>
    <n v="240156"/>
    <n v="34"/>
  </r>
  <r>
    <x v="202"/>
    <x v="1"/>
    <x v="1"/>
    <x v="3"/>
    <x v="215"/>
    <n v="483106"/>
    <n v="341016"/>
    <n v="142090"/>
    <n v="34"/>
  </r>
  <r>
    <x v="203"/>
    <x v="4"/>
    <x v="0"/>
    <x v="2"/>
    <x v="216"/>
    <n v="216416"/>
    <n v="162312"/>
    <n v="54104"/>
    <n v="32"/>
  </r>
  <r>
    <x v="204"/>
    <x v="3"/>
    <x v="0"/>
    <x v="0"/>
    <x v="217"/>
    <n v="872340"/>
    <n v="639716"/>
    <n v="232624"/>
    <n v="30"/>
  </r>
  <r>
    <x v="205"/>
    <x v="4"/>
    <x v="0"/>
    <x v="1"/>
    <x v="218"/>
    <n v="769842"/>
    <n v="344403"/>
    <n v="425439"/>
    <n v="38"/>
  </r>
  <r>
    <x v="206"/>
    <x v="0"/>
    <x v="1"/>
    <x v="2"/>
    <x v="219"/>
    <n v="689632"/>
    <n v="474122"/>
    <n v="215510"/>
    <n v="32"/>
  </r>
  <r>
    <x v="207"/>
    <x v="1"/>
    <x v="4"/>
    <x v="0"/>
    <x v="220"/>
    <n v="333150"/>
    <n v="279846"/>
    <n v="53304"/>
    <n v="25"/>
  </r>
  <r>
    <x v="208"/>
    <x v="3"/>
    <x v="3"/>
    <x v="2"/>
    <x v="221"/>
    <n v="758610"/>
    <n v="236012"/>
    <n v="522598"/>
    <n v="45"/>
  </r>
  <r>
    <x v="209"/>
    <x v="1"/>
    <x v="5"/>
    <x v="3"/>
    <x v="222"/>
    <n v="783066"/>
    <n v="576996"/>
    <n v="206070"/>
    <n v="38"/>
  </r>
  <r>
    <x v="210"/>
    <x v="3"/>
    <x v="5"/>
    <x v="2"/>
    <x v="223"/>
    <n v="321025"/>
    <n v="295343"/>
    <n v="25682"/>
    <n v="25"/>
  </r>
  <r>
    <x v="195"/>
    <x v="4"/>
    <x v="5"/>
    <x v="2"/>
    <x v="224"/>
    <n v="488880"/>
    <n v="651840"/>
    <n v="-162960"/>
    <n v="21"/>
  </r>
  <r>
    <x v="211"/>
    <x v="0"/>
    <x v="2"/>
    <x v="4"/>
    <x v="225"/>
    <n v="242282"/>
    <n v="179078"/>
    <n v="63204"/>
    <n v="23"/>
  </r>
  <r>
    <x v="212"/>
    <x v="4"/>
    <x v="2"/>
    <x v="2"/>
    <x v="226"/>
    <n v="870077"/>
    <n v="477139"/>
    <n v="392938"/>
    <n v="31"/>
  </r>
  <r>
    <x v="213"/>
    <x v="3"/>
    <x v="2"/>
    <x v="4"/>
    <x v="227"/>
    <n v="236475"/>
    <n v="136630"/>
    <n v="99845"/>
    <n v="45"/>
  </r>
  <r>
    <x v="214"/>
    <x v="3"/>
    <x v="0"/>
    <x v="3"/>
    <x v="228"/>
    <n v="168912"/>
    <n v="146880"/>
    <n v="22032"/>
    <n v="23"/>
  </r>
  <r>
    <x v="215"/>
    <x v="2"/>
    <x v="3"/>
    <x v="3"/>
    <x v="229"/>
    <n v="834345"/>
    <n v="407902"/>
    <n v="426443"/>
    <n v="45"/>
  </r>
  <r>
    <x v="216"/>
    <x v="1"/>
    <x v="2"/>
    <x v="2"/>
    <x v="230"/>
    <n v="982485"/>
    <n v="449136"/>
    <n v="533349"/>
    <n v="35"/>
  </r>
  <r>
    <x v="217"/>
    <x v="4"/>
    <x v="3"/>
    <x v="0"/>
    <x v="231"/>
    <n v="1054480"/>
    <n v="632688"/>
    <n v="421792"/>
    <n v="40"/>
  </r>
  <r>
    <x v="218"/>
    <x v="3"/>
    <x v="0"/>
    <x v="4"/>
    <x v="232"/>
    <n v="777632"/>
    <n v="286496"/>
    <n v="491136"/>
    <n v="38"/>
  </r>
  <r>
    <x v="219"/>
    <x v="0"/>
    <x v="4"/>
    <x v="0"/>
    <x v="233"/>
    <n v="1049405"/>
    <n v="779558"/>
    <n v="269847"/>
    <n v="35"/>
  </r>
  <r>
    <x v="220"/>
    <x v="1"/>
    <x v="4"/>
    <x v="0"/>
    <x v="234"/>
    <n v="391790"/>
    <n v="162120"/>
    <n v="229670"/>
    <n v="29"/>
  </r>
  <r>
    <x v="145"/>
    <x v="2"/>
    <x v="5"/>
    <x v="1"/>
    <x v="235"/>
    <n v="711744"/>
    <n v="355872"/>
    <n v="355872"/>
    <n v="32"/>
  </r>
  <r>
    <x v="125"/>
    <x v="4"/>
    <x v="4"/>
    <x v="2"/>
    <x v="236"/>
    <n v="422709"/>
    <n v="241548"/>
    <n v="181161"/>
    <n v="21"/>
  </r>
  <r>
    <x v="221"/>
    <x v="2"/>
    <x v="0"/>
    <x v="1"/>
    <x v="237"/>
    <n v="486600"/>
    <n v="510930"/>
    <n v="-24330"/>
    <n v="20"/>
  </r>
  <r>
    <x v="222"/>
    <x v="1"/>
    <x v="2"/>
    <x v="1"/>
    <x v="238"/>
    <n v="638100"/>
    <n v="382860"/>
    <n v="255240"/>
    <n v="30"/>
  </r>
  <r>
    <x v="223"/>
    <x v="1"/>
    <x v="3"/>
    <x v="1"/>
    <x v="239"/>
    <n v="750380"/>
    <n v="573820"/>
    <n v="176560"/>
    <n v="34"/>
  </r>
  <r>
    <x v="224"/>
    <x v="1"/>
    <x v="3"/>
    <x v="4"/>
    <x v="240"/>
    <n v="1080720"/>
    <n v="540360"/>
    <n v="540360"/>
    <n v="40"/>
  </r>
  <r>
    <x v="225"/>
    <x v="0"/>
    <x v="5"/>
    <x v="0"/>
    <x v="241"/>
    <n v="388020"/>
    <n v="232812"/>
    <n v="155208"/>
    <n v="20"/>
  </r>
  <r>
    <x v="42"/>
    <x v="2"/>
    <x v="5"/>
    <x v="0"/>
    <x v="242"/>
    <n v="660243"/>
    <n v="455340"/>
    <n v="204903"/>
    <n v="29"/>
  </r>
  <r>
    <x v="226"/>
    <x v="2"/>
    <x v="1"/>
    <x v="0"/>
    <x v="243"/>
    <n v="892056"/>
    <n v="364932"/>
    <n v="527124"/>
    <n v="44"/>
  </r>
  <r>
    <x v="227"/>
    <x v="4"/>
    <x v="0"/>
    <x v="4"/>
    <x v="244"/>
    <n v="848408"/>
    <n v="766304"/>
    <n v="82104"/>
    <n v="31"/>
  </r>
  <r>
    <x v="228"/>
    <x v="3"/>
    <x v="5"/>
    <x v="4"/>
    <x v="245"/>
    <n v="818384"/>
    <n v="555332"/>
    <n v="263052"/>
    <n v="28"/>
  </r>
  <r>
    <x v="229"/>
    <x v="4"/>
    <x v="0"/>
    <x v="2"/>
    <x v="246"/>
    <n v="355012"/>
    <n v="316975"/>
    <n v="38037"/>
    <n v="28"/>
  </r>
  <r>
    <x v="230"/>
    <x v="0"/>
    <x v="1"/>
    <x v="3"/>
    <x v="247"/>
    <n v="294435"/>
    <n v="104688"/>
    <n v="189747"/>
    <n v="45"/>
  </r>
  <r>
    <x v="231"/>
    <x v="2"/>
    <x v="1"/>
    <x v="4"/>
    <x v="248"/>
    <n v="961622"/>
    <n v="452528"/>
    <n v="509094"/>
    <n v="34"/>
  </r>
  <r>
    <x v="232"/>
    <x v="1"/>
    <x v="2"/>
    <x v="2"/>
    <x v="249"/>
    <n v="527091"/>
    <n v="412506"/>
    <n v="114585"/>
    <n v="23"/>
  </r>
  <r>
    <x v="109"/>
    <x v="2"/>
    <x v="4"/>
    <x v="4"/>
    <x v="250"/>
    <n v="603612"/>
    <n v="424764"/>
    <n v="178848"/>
    <n v="27"/>
  </r>
  <r>
    <x v="233"/>
    <x v="2"/>
    <x v="1"/>
    <x v="4"/>
    <x v="251"/>
    <n v="1088814"/>
    <n v="773631"/>
    <n v="315183"/>
    <n v="38"/>
  </r>
  <r>
    <x v="234"/>
    <x v="2"/>
    <x v="3"/>
    <x v="2"/>
    <x v="252"/>
    <n v="311712"/>
    <n v="165024"/>
    <n v="146688"/>
    <n v="34"/>
  </r>
  <r>
    <x v="235"/>
    <x v="3"/>
    <x v="3"/>
    <x v="4"/>
    <x v="253"/>
    <n v="297603"/>
    <n v="173025"/>
    <n v="124578"/>
    <n v="43"/>
  </r>
  <r>
    <x v="236"/>
    <x v="4"/>
    <x v="2"/>
    <x v="1"/>
    <x v="254"/>
    <n v="717344"/>
    <n v="469984"/>
    <n v="247360"/>
    <n v="29"/>
  </r>
  <r>
    <x v="237"/>
    <x v="3"/>
    <x v="0"/>
    <x v="0"/>
    <x v="255"/>
    <n v="532672"/>
    <n v="330624"/>
    <n v="202048"/>
    <n v="29"/>
  </r>
  <r>
    <x v="238"/>
    <x v="4"/>
    <x v="4"/>
    <x v="2"/>
    <x v="256"/>
    <n v="654116"/>
    <n v="334664"/>
    <n v="319452"/>
    <n v="43"/>
  </r>
  <r>
    <x v="239"/>
    <x v="3"/>
    <x v="2"/>
    <x v="1"/>
    <x v="257"/>
    <n v="271075"/>
    <n v="184331"/>
    <n v="86744"/>
    <n v="25"/>
  </r>
  <r>
    <x v="240"/>
    <x v="3"/>
    <x v="2"/>
    <x v="1"/>
    <x v="258"/>
    <n v="309386"/>
    <n v="182819"/>
    <n v="126567"/>
    <n v="22"/>
  </r>
  <r>
    <x v="241"/>
    <x v="2"/>
    <x v="4"/>
    <x v="2"/>
    <x v="259"/>
    <n v="678136"/>
    <n v="458200"/>
    <n v="219936"/>
    <n v="37"/>
  </r>
  <r>
    <x v="242"/>
    <x v="0"/>
    <x v="1"/>
    <x v="0"/>
    <x v="260"/>
    <n v="236535"/>
    <n v="78845"/>
    <n v="157690"/>
    <n v="39"/>
  </r>
  <r>
    <x v="60"/>
    <x v="1"/>
    <x v="4"/>
    <x v="1"/>
    <x v="261"/>
    <n v="649040"/>
    <n v="358680"/>
    <n v="290360"/>
    <n v="38"/>
  </r>
  <r>
    <x v="243"/>
    <x v="1"/>
    <x v="5"/>
    <x v="4"/>
    <x v="262"/>
    <n v="660275"/>
    <n v="581042"/>
    <n v="79233"/>
    <n v="25"/>
  </r>
  <r>
    <x v="244"/>
    <x v="0"/>
    <x v="3"/>
    <x v="1"/>
    <x v="263"/>
    <n v="423062"/>
    <n v="441456"/>
    <n v="-18394"/>
    <n v="23"/>
  </r>
  <r>
    <x v="245"/>
    <x v="2"/>
    <x v="0"/>
    <x v="4"/>
    <x v="264"/>
    <n v="446166"/>
    <n v="254952"/>
    <n v="191214"/>
    <n v="42"/>
  </r>
  <r>
    <x v="246"/>
    <x v="0"/>
    <x v="2"/>
    <x v="3"/>
    <x v="265"/>
    <n v="420948"/>
    <n v="222167"/>
    <n v="198781"/>
    <n v="36"/>
  </r>
  <r>
    <x v="247"/>
    <x v="0"/>
    <x v="0"/>
    <x v="0"/>
    <x v="266"/>
    <n v="872756"/>
    <n v="542524"/>
    <n v="330232"/>
    <n v="37"/>
  </r>
  <r>
    <x v="248"/>
    <x v="2"/>
    <x v="3"/>
    <x v="4"/>
    <x v="267"/>
    <n v="631932"/>
    <n v="391196"/>
    <n v="240736"/>
    <n v="42"/>
  </r>
  <r>
    <x v="249"/>
    <x v="0"/>
    <x v="0"/>
    <x v="2"/>
    <x v="268"/>
    <n v="231840"/>
    <n v="149040"/>
    <n v="82800"/>
    <n v="42"/>
  </r>
  <r>
    <x v="183"/>
    <x v="1"/>
    <x v="5"/>
    <x v="3"/>
    <x v="269"/>
    <n v="429528"/>
    <n v="507624"/>
    <n v="-78096"/>
    <n v="22"/>
  </r>
  <r>
    <x v="250"/>
    <x v="4"/>
    <x v="3"/>
    <x v="3"/>
    <x v="270"/>
    <n v="428655"/>
    <n v="209100"/>
    <n v="219555"/>
    <n v="41"/>
  </r>
  <r>
    <x v="251"/>
    <x v="1"/>
    <x v="3"/>
    <x v="2"/>
    <x v="271"/>
    <n v="643896"/>
    <n v="395118"/>
    <n v="248778"/>
    <n v="44"/>
  </r>
  <r>
    <x v="252"/>
    <x v="3"/>
    <x v="2"/>
    <x v="1"/>
    <x v="272"/>
    <n v="937524"/>
    <n v="580372"/>
    <n v="357152"/>
    <n v="42"/>
  </r>
  <r>
    <x v="253"/>
    <x v="1"/>
    <x v="2"/>
    <x v="4"/>
    <x v="273"/>
    <n v="139594"/>
    <n v="112749"/>
    <n v="26845"/>
    <n v="26"/>
  </r>
  <r>
    <x v="254"/>
    <x v="3"/>
    <x v="5"/>
    <x v="0"/>
    <x v="274"/>
    <n v="677575"/>
    <n v="758884"/>
    <n v="-81309"/>
    <n v="25"/>
  </r>
  <r>
    <x v="255"/>
    <x v="2"/>
    <x v="3"/>
    <x v="4"/>
    <x v="275"/>
    <n v="207720"/>
    <n v="77895"/>
    <n v="129825"/>
    <n v="40"/>
  </r>
  <r>
    <x v="33"/>
    <x v="1"/>
    <x v="0"/>
    <x v="0"/>
    <x v="276"/>
    <n v="436566"/>
    <n v="235074"/>
    <n v="201492"/>
    <n v="39"/>
  </r>
  <r>
    <x v="227"/>
    <x v="4"/>
    <x v="2"/>
    <x v="3"/>
    <x v="277"/>
    <n v="339915"/>
    <n v="274125"/>
    <n v="65790"/>
    <n v="31"/>
  </r>
  <r>
    <x v="256"/>
    <x v="1"/>
    <x v="1"/>
    <x v="1"/>
    <x v="278"/>
    <n v="457590"/>
    <n v="501170"/>
    <n v="-43580"/>
    <n v="21"/>
  </r>
  <r>
    <x v="257"/>
    <x v="0"/>
    <x v="2"/>
    <x v="1"/>
    <x v="279"/>
    <n v="392868"/>
    <n v="261912"/>
    <n v="130956"/>
    <n v="21"/>
  </r>
  <r>
    <x v="58"/>
    <x v="1"/>
    <x v="4"/>
    <x v="3"/>
    <x v="280"/>
    <n v="212160"/>
    <n v="68952"/>
    <n v="143208"/>
    <n v="40"/>
  </r>
  <r>
    <x v="258"/>
    <x v="3"/>
    <x v="2"/>
    <x v="2"/>
    <x v="281"/>
    <n v="443169"/>
    <n v="172944"/>
    <n v="270225"/>
    <n v="41"/>
  </r>
  <r>
    <x v="157"/>
    <x v="2"/>
    <x v="2"/>
    <x v="1"/>
    <x v="282"/>
    <n v="849927"/>
    <n v="501239"/>
    <n v="348688"/>
    <n v="39"/>
  </r>
  <r>
    <x v="259"/>
    <x v="0"/>
    <x v="1"/>
    <x v="4"/>
    <x v="283"/>
    <n v="294956"/>
    <n v="186288"/>
    <n v="108668"/>
    <n v="38"/>
  </r>
  <r>
    <x v="260"/>
    <x v="0"/>
    <x v="1"/>
    <x v="1"/>
    <x v="284"/>
    <n v="604404"/>
    <n v="453303"/>
    <n v="151101"/>
    <n v="36"/>
  </r>
  <r>
    <x v="261"/>
    <x v="1"/>
    <x v="1"/>
    <x v="1"/>
    <x v="285"/>
    <n v="722332"/>
    <n v="523068"/>
    <n v="199264"/>
    <n v="29"/>
  </r>
  <r>
    <x v="262"/>
    <x v="1"/>
    <x v="0"/>
    <x v="2"/>
    <x v="286"/>
    <n v="391581"/>
    <n v="246551"/>
    <n v="145030"/>
    <n v="27"/>
  </r>
  <r>
    <x v="263"/>
    <x v="1"/>
    <x v="4"/>
    <x v="0"/>
    <x v="287"/>
    <n v="639540"/>
    <n v="286110"/>
    <n v="353430"/>
    <n v="38"/>
  </r>
  <r>
    <x v="264"/>
    <x v="0"/>
    <x v="2"/>
    <x v="0"/>
    <x v="288"/>
    <n v="509733"/>
    <n v="474579"/>
    <n v="35154"/>
    <n v="29"/>
  </r>
  <r>
    <x v="158"/>
    <x v="4"/>
    <x v="5"/>
    <x v="4"/>
    <x v="289"/>
    <n v="306280"/>
    <n v="214396"/>
    <n v="91884"/>
    <n v="20"/>
  </r>
  <r>
    <x v="114"/>
    <x v="0"/>
    <x v="5"/>
    <x v="3"/>
    <x v="290"/>
    <n v="574674"/>
    <n v="332706"/>
    <n v="241968"/>
    <n v="38"/>
  </r>
  <r>
    <x v="265"/>
    <x v="3"/>
    <x v="5"/>
    <x v="4"/>
    <x v="291"/>
    <n v="628040"/>
    <n v="358880"/>
    <n v="269160"/>
    <n v="35"/>
  </r>
  <r>
    <x v="266"/>
    <x v="2"/>
    <x v="5"/>
    <x v="1"/>
    <x v="292"/>
    <n v="291902"/>
    <n v="269448"/>
    <n v="22454"/>
    <n v="26"/>
  </r>
  <r>
    <x v="267"/>
    <x v="1"/>
    <x v="5"/>
    <x v="2"/>
    <x v="293"/>
    <n v="812725"/>
    <n v="616550"/>
    <n v="196175"/>
    <n v="29"/>
  </r>
  <r>
    <x v="268"/>
    <x v="4"/>
    <x v="3"/>
    <x v="1"/>
    <x v="294"/>
    <n v="298947"/>
    <n v="154003"/>
    <n v="144944"/>
    <n v="33"/>
  </r>
  <r>
    <x v="269"/>
    <x v="4"/>
    <x v="3"/>
    <x v="2"/>
    <x v="295"/>
    <n v="831835"/>
    <n v="425590"/>
    <n v="406245"/>
    <n v="43"/>
  </r>
  <r>
    <x v="270"/>
    <x v="1"/>
    <x v="5"/>
    <x v="3"/>
    <x v="296"/>
    <n v="717150"/>
    <n v="478100"/>
    <n v="239050"/>
    <n v="42"/>
  </r>
  <r>
    <x v="271"/>
    <x v="1"/>
    <x v="1"/>
    <x v="4"/>
    <x v="297"/>
    <n v="450040"/>
    <n v="135012"/>
    <n v="315028"/>
    <n v="40"/>
  </r>
  <r>
    <x v="272"/>
    <x v="2"/>
    <x v="1"/>
    <x v="3"/>
    <x v="298"/>
    <n v="259964"/>
    <n v="137628"/>
    <n v="122336"/>
    <n v="34"/>
  </r>
  <r>
    <x v="273"/>
    <x v="5"/>
    <x v="6"/>
    <x v="5"/>
    <x v="2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32D9D7-743A-4059-BFCA-9F27DDDC58E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H10" firstHeaderRow="1" firstDataRow="2" firstDataCol="1"/>
  <pivotFields count="9">
    <pivotField showAll="0">
      <items count="275">
        <item x="141"/>
        <item x="151"/>
        <item x="226"/>
        <item x="2"/>
        <item x="155"/>
        <item x="182"/>
        <item x="233"/>
        <item x="248"/>
        <item x="245"/>
        <item x="71"/>
        <item x="133"/>
        <item x="49"/>
        <item x="181"/>
        <item x="13"/>
        <item x="111"/>
        <item x="145"/>
        <item x="116"/>
        <item x="122"/>
        <item x="178"/>
        <item x="150"/>
        <item x="25"/>
        <item x="14"/>
        <item x="186"/>
        <item x="112"/>
        <item x="234"/>
        <item x="96"/>
        <item x="20"/>
        <item x="99"/>
        <item x="101"/>
        <item x="120"/>
        <item x="255"/>
        <item x="157"/>
        <item x="109"/>
        <item x="61"/>
        <item x="138"/>
        <item x="162"/>
        <item x="147"/>
        <item x="152"/>
        <item x="103"/>
        <item x="231"/>
        <item x="50"/>
        <item x="241"/>
        <item x="5"/>
        <item x="165"/>
        <item x="121"/>
        <item x="272"/>
        <item x="29"/>
        <item x="42"/>
        <item x="266"/>
        <item x="128"/>
        <item x="221"/>
        <item x="215"/>
        <item x="57"/>
        <item x="148"/>
        <item x="204"/>
        <item x="214"/>
        <item x="85"/>
        <item x="47"/>
        <item x="6"/>
        <item x="218"/>
        <item x="12"/>
        <item x="54"/>
        <item x="235"/>
        <item x="265"/>
        <item x="176"/>
        <item x="208"/>
        <item x="210"/>
        <item x="80"/>
        <item x="40"/>
        <item x="192"/>
        <item x="52"/>
        <item x="163"/>
        <item x="191"/>
        <item x="156"/>
        <item x="45"/>
        <item x="239"/>
        <item x="56"/>
        <item x="254"/>
        <item x="11"/>
        <item x="258"/>
        <item x="237"/>
        <item x="35"/>
        <item x="107"/>
        <item x="115"/>
        <item x="89"/>
        <item x="136"/>
        <item x="24"/>
        <item x="201"/>
        <item x="140"/>
        <item x="213"/>
        <item x="252"/>
        <item x="46"/>
        <item x="184"/>
        <item x="188"/>
        <item x="48"/>
        <item x="28"/>
        <item x="36"/>
        <item x="228"/>
        <item x="240"/>
        <item x="166"/>
        <item x="197"/>
        <item x="55"/>
        <item x="256"/>
        <item x="104"/>
        <item x="69"/>
        <item x="253"/>
        <item x="110"/>
        <item x="270"/>
        <item x="88"/>
        <item x="134"/>
        <item x="17"/>
        <item x="62"/>
        <item x="183"/>
        <item x="200"/>
        <item x="262"/>
        <item x="77"/>
        <item x="74"/>
        <item x="63"/>
        <item x="9"/>
        <item x="123"/>
        <item x="33"/>
        <item x="207"/>
        <item x="139"/>
        <item x="216"/>
        <item x="232"/>
        <item x="202"/>
        <item x="267"/>
        <item x="91"/>
        <item x="251"/>
        <item x="81"/>
        <item x="124"/>
        <item x="135"/>
        <item x="76"/>
        <item x="171"/>
        <item x="41"/>
        <item x="130"/>
        <item x="222"/>
        <item x="243"/>
        <item x="209"/>
        <item x="60"/>
        <item x="18"/>
        <item x="223"/>
        <item x="100"/>
        <item x="187"/>
        <item x="220"/>
        <item x="173"/>
        <item x="58"/>
        <item x="51"/>
        <item x="224"/>
        <item x="263"/>
        <item x="1"/>
        <item x="161"/>
        <item x="271"/>
        <item x="167"/>
        <item x="144"/>
        <item x="261"/>
        <item x="65"/>
        <item x="154"/>
        <item x="86"/>
        <item x="8"/>
        <item x="67"/>
        <item x="4"/>
        <item x="242"/>
        <item x="0"/>
        <item x="142"/>
        <item x="211"/>
        <item x="174"/>
        <item x="16"/>
        <item x="106"/>
        <item x="260"/>
        <item x="131"/>
        <item x="94"/>
        <item x="66"/>
        <item x="246"/>
        <item x="38"/>
        <item x="179"/>
        <item x="114"/>
        <item x="3"/>
        <item x="264"/>
        <item x="21"/>
        <item x="175"/>
        <item x="27"/>
        <item x="83"/>
        <item x="37"/>
        <item x="172"/>
        <item x="146"/>
        <item x="259"/>
        <item x="219"/>
        <item x="26"/>
        <item x="87"/>
        <item x="117"/>
        <item x="53"/>
        <item x="168"/>
        <item x="149"/>
        <item x="180"/>
        <item x="199"/>
        <item x="153"/>
        <item x="137"/>
        <item x="70"/>
        <item x="22"/>
        <item x="90"/>
        <item x="249"/>
        <item x="34"/>
        <item x="244"/>
        <item x="193"/>
        <item x="170"/>
        <item x="196"/>
        <item x="127"/>
        <item x="206"/>
        <item x="225"/>
        <item x="257"/>
        <item x="160"/>
        <item x="108"/>
        <item x="189"/>
        <item x="194"/>
        <item x="247"/>
        <item x="30"/>
        <item x="230"/>
        <item x="19"/>
        <item x="169"/>
        <item x="95"/>
        <item x="198"/>
        <item x="190"/>
        <item x="79"/>
        <item x="205"/>
        <item x="73"/>
        <item x="129"/>
        <item x="132"/>
        <item x="59"/>
        <item x="143"/>
        <item x="195"/>
        <item x="126"/>
        <item x="212"/>
        <item x="269"/>
        <item x="238"/>
        <item x="7"/>
        <item x="118"/>
        <item x="125"/>
        <item x="97"/>
        <item x="15"/>
        <item x="102"/>
        <item x="229"/>
        <item x="164"/>
        <item x="64"/>
        <item x="227"/>
        <item x="177"/>
        <item x="10"/>
        <item x="93"/>
        <item x="44"/>
        <item x="68"/>
        <item x="217"/>
        <item x="92"/>
        <item x="75"/>
        <item x="43"/>
        <item x="185"/>
        <item x="39"/>
        <item x="113"/>
        <item x="31"/>
        <item x="72"/>
        <item x="250"/>
        <item x="78"/>
        <item x="119"/>
        <item x="84"/>
        <item x="159"/>
        <item x="98"/>
        <item x="236"/>
        <item x="32"/>
        <item x="158"/>
        <item x="268"/>
        <item x="105"/>
        <item x="82"/>
        <item x="23"/>
        <item x="203"/>
        <item x="273"/>
        <item t="default"/>
      </items>
    </pivotField>
    <pivotField axis="axisRow" showAll="0">
      <items count="7">
        <item x="2"/>
        <item x="3"/>
        <item x="1"/>
        <item x="0"/>
        <item x="4"/>
        <item x="5"/>
        <item t="default"/>
      </items>
    </pivotField>
    <pivotField axis="axisCol" showAll="0">
      <items count="8">
        <item x="0"/>
        <item x="5"/>
        <item x="1"/>
        <item x="4"/>
        <item x="2"/>
        <item x="3"/>
        <item h="1" x="6"/>
        <item t="default"/>
      </items>
    </pivotField>
    <pivotField showAll="0">
      <items count="7">
        <item x="1"/>
        <item x="3"/>
        <item x="0"/>
        <item x="2"/>
        <item x="4"/>
        <item h="1" x="5"/>
        <item t="default"/>
      </items>
    </pivotField>
    <pivotField showAll="0"/>
    <pivotField dataField="1" showAll="0"/>
    <pivotField showAll="0"/>
    <pivotField showAll="0"/>
    <pivotField showAll="0"/>
  </pivotFields>
  <rowFields count="1">
    <field x="1"/>
  </rowFields>
  <rowItems count="6">
    <i>
      <x/>
    </i>
    <i>
      <x v="1"/>
    </i>
    <i>
      <x v="2"/>
    </i>
    <i>
      <x v="3"/>
    </i>
    <i>
      <x v="4"/>
    </i>
    <i t="grand">
      <x/>
    </i>
  </rowItems>
  <colFields count="1">
    <field x="2"/>
  </colFields>
  <colItems count="7">
    <i>
      <x/>
    </i>
    <i>
      <x v="1"/>
    </i>
    <i>
      <x v="2"/>
    </i>
    <i>
      <x v="3"/>
    </i>
    <i>
      <x v="4"/>
    </i>
    <i>
      <x v="5"/>
    </i>
    <i t="grand">
      <x/>
    </i>
  </colItems>
  <dataFields count="1">
    <dataField name="Sum of Sales ($)" fld="5" baseField="0" baseItem="0"/>
  </dataFields>
  <formats count="3">
    <format dxfId="6">
      <pivotArea outline="0" collapsedLevelsAreSubtotals="1" fieldPosition="0">
        <references count="1">
          <reference field="2" count="1" selected="0">
            <x v="0"/>
          </reference>
        </references>
      </pivotArea>
    </format>
    <format dxfId="5">
      <pivotArea outline="0" collapsedLevelsAreSubtotals="1" fieldPosition="0">
        <references count="1">
          <reference field="2" count="5" selected="0">
            <x v="1"/>
            <x v="2"/>
            <x v="3"/>
            <x v="4"/>
            <x v="5"/>
          </reference>
        </references>
      </pivotArea>
    </format>
    <format dxfId="4">
      <pivotArea grandCol="1" outline="0" collapsedLevelsAreSubtotals="1" fieldPosition="0"/>
    </format>
  </formats>
  <chartFormats count="7">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7" name="Order Date">
      <autoFilter ref="A1">
        <filterColumn colId="0">
          <customFilters and="1">
            <customFilter operator="greaterThanOrEqual" val="4419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4DECB1-7110-470B-9D21-7D3E35E4E7D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21:H28" firstHeaderRow="1" firstDataRow="2" firstDataCol="1"/>
  <pivotFields count="9">
    <pivotField showAll="0">
      <items count="275">
        <item x="141"/>
        <item x="151"/>
        <item x="226"/>
        <item x="2"/>
        <item x="155"/>
        <item x="182"/>
        <item x="233"/>
        <item x="248"/>
        <item x="245"/>
        <item x="71"/>
        <item x="133"/>
        <item x="49"/>
        <item x="181"/>
        <item x="13"/>
        <item x="111"/>
        <item x="145"/>
        <item x="116"/>
        <item x="122"/>
        <item x="178"/>
        <item x="150"/>
        <item x="25"/>
        <item x="14"/>
        <item x="186"/>
        <item x="112"/>
        <item x="234"/>
        <item x="96"/>
        <item x="20"/>
        <item x="99"/>
        <item x="101"/>
        <item x="120"/>
        <item x="255"/>
        <item x="157"/>
        <item x="109"/>
        <item x="61"/>
        <item x="138"/>
        <item x="162"/>
        <item x="147"/>
        <item x="152"/>
        <item x="103"/>
        <item x="231"/>
        <item x="50"/>
        <item x="241"/>
        <item x="5"/>
        <item x="165"/>
        <item x="121"/>
        <item x="272"/>
        <item x="29"/>
        <item x="42"/>
        <item x="266"/>
        <item x="128"/>
        <item x="221"/>
        <item x="215"/>
        <item x="57"/>
        <item x="148"/>
        <item x="204"/>
        <item x="214"/>
        <item x="85"/>
        <item x="47"/>
        <item x="6"/>
        <item x="218"/>
        <item x="12"/>
        <item x="54"/>
        <item x="235"/>
        <item x="265"/>
        <item x="176"/>
        <item x="208"/>
        <item x="210"/>
        <item x="80"/>
        <item x="40"/>
        <item x="192"/>
        <item x="52"/>
        <item x="163"/>
        <item x="191"/>
        <item x="156"/>
        <item x="45"/>
        <item x="239"/>
        <item x="56"/>
        <item x="254"/>
        <item x="11"/>
        <item x="258"/>
        <item x="237"/>
        <item x="35"/>
        <item x="107"/>
        <item x="115"/>
        <item x="89"/>
        <item x="136"/>
        <item x="24"/>
        <item x="201"/>
        <item x="140"/>
        <item x="213"/>
        <item x="252"/>
        <item x="46"/>
        <item x="184"/>
        <item x="188"/>
        <item x="48"/>
        <item x="28"/>
        <item x="36"/>
        <item x="228"/>
        <item x="240"/>
        <item x="166"/>
        <item x="197"/>
        <item x="55"/>
        <item x="256"/>
        <item x="104"/>
        <item x="69"/>
        <item x="253"/>
        <item x="110"/>
        <item x="270"/>
        <item x="88"/>
        <item x="134"/>
        <item x="17"/>
        <item x="62"/>
        <item x="183"/>
        <item x="200"/>
        <item x="262"/>
        <item x="77"/>
        <item x="74"/>
        <item x="63"/>
        <item x="9"/>
        <item x="123"/>
        <item x="33"/>
        <item x="207"/>
        <item x="139"/>
        <item x="216"/>
        <item x="232"/>
        <item x="202"/>
        <item x="267"/>
        <item x="91"/>
        <item x="251"/>
        <item x="81"/>
        <item x="124"/>
        <item x="135"/>
        <item x="76"/>
        <item x="171"/>
        <item x="41"/>
        <item x="130"/>
        <item x="222"/>
        <item x="243"/>
        <item x="209"/>
        <item x="60"/>
        <item x="18"/>
        <item x="223"/>
        <item x="100"/>
        <item x="187"/>
        <item x="220"/>
        <item x="173"/>
        <item x="58"/>
        <item x="51"/>
        <item x="224"/>
        <item x="263"/>
        <item x="1"/>
        <item x="161"/>
        <item x="271"/>
        <item x="167"/>
        <item x="144"/>
        <item x="261"/>
        <item x="65"/>
        <item x="154"/>
        <item x="86"/>
        <item x="8"/>
        <item x="67"/>
        <item x="4"/>
        <item x="242"/>
        <item x="0"/>
        <item x="142"/>
        <item x="211"/>
        <item x="174"/>
        <item x="16"/>
        <item x="106"/>
        <item x="260"/>
        <item x="131"/>
        <item x="94"/>
        <item x="66"/>
        <item x="246"/>
        <item x="38"/>
        <item x="179"/>
        <item x="114"/>
        <item x="3"/>
        <item x="264"/>
        <item x="21"/>
        <item x="175"/>
        <item x="27"/>
        <item x="83"/>
        <item x="37"/>
        <item x="172"/>
        <item x="146"/>
        <item x="259"/>
        <item x="219"/>
        <item x="26"/>
        <item x="87"/>
        <item x="117"/>
        <item x="53"/>
        <item x="168"/>
        <item x="149"/>
        <item x="180"/>
        <item x="199"/>
        <item x="153"/>
        <item x="137"/>
        <item x="70"/>
        <item x="22"/>
        <item x="90"/>
        <item x="249"/>
        <item x="34"/>
        <item x="244"/>
        <item x="193"/>
        <item x="170"/>
        <item x="196"/>
        <item x="127"/>
        <item x="206"/>
        <item x="225"/>
        <item x="257"/>
        <item x="160"/>
        <item x="108"/>
        <item x="189"/>
        <item x="194"/>
        <item x="247"/>
        <item x="30"/>
        <item x="230"/>
        <item x="19"/>
        <item x="169"/>
        <item x="95"/>
        <item x="198"/>
        <item x="190"/>
        <item x="79"/>
        <item x="205"/>
        <item x="73"/>
        <item x="129"/>
        <item x="132"/>
        <item x="59"/>
        <item x="143"/>
        <item x="195"/>
        <item x="126"/>
        <item x="212"/>
        <item x="269"/>
        <item x="238"/>
        <item x="7"/>
        <item x="118"/>
        <item x="125"/>
        <item x="97"/>
        <item x="15"/>
        <item x="102"/>
        <item x="229"/>
        <item x="164"/>
        <item x="64"/>
        <item x="227"/>
        <item x="177"/>
        <item x="10"/>
        <item x="93"/>
        <item x="44"/>
        <item x="68"/>
        <item x="217"/>
        <item x="92"/>
        <item x="75"/>
        <item x="43"/>
        <item x="185"/>
        <item x="39"/>
        <item x="113"/>
        <item x="31"/>
        <item x="72"/>
        <item x="250"/>
        <item x="78"/>
        <item x="119"/>
        <item x="84"/>
        <item x="159"/>
        <item x="98"/>
        <item x="236"/>
        <item x="32"/>
        <item x="158"/>
        <item x="268"/>
        <item x="105"/>
        <item x="82"/>
        <item x="23"/>
        <item x="203"/>
        <item x="273"/>
        <item t="default"/>
      </items>
    </pivotField>
    <pivotField axis="axisRow" showAll="0">
      <items count="7">
        <item x="2"/>
        <item x="3"/>
        <item x="1"/>
        <item x="0"/>
        <item x="4"/>
        <item x="5"/>
        <item t="default"/>
      </items>
    </pivotField>
    <pivotField axis="axisCol" showAll="0">
      <items count="8">
        <item x="0"/>
        <item x="5"/>
        <item x="1"/>
        <item x="4"/>
        <item x="2"/>
        <item x="3"/>
        <item h="1" x="6"/>
        <item t="default"/>
      </items>
    </pivotField>
    <pivotField showAll="0">
      <items count="7">
        <item x="1"/>
        <item x="3"/>
        <item x="0"/>
        <item x="2"/>
        <item x="4"/>
        <item h="1" x="5"/>
        <item t="default"/>
      </items>
    </pivotField>
    <pivotField showAll="0"/>
    <pivotField showAll="0"/>
    <pivotField showAll="0"/>
    <pivotField dataField="1" showAll="0"/>
    <pivotField showAll="0"/>
  </pivotFields>
  <rowFields count="1">
    <field x="1"/>
  </rowFields>
  <rowItems count="6">
    <i>
      <x/>
    </i>
    <i>
      <x v="1"/>
    </i>
    <i>
      <x v="2"/>
    </i>
    <i>
      <x v="3"/>
    </i>
    <i>
      <x v="4"/>
    </i>
    <i t="grand">
      <x/>
    </i>
  </rowItems>
  <colFields count="1">
    <field x="2"/>
  </colFields>
  <colItems count="7">
    <i>
      <x/>
    </i>
    <i>
      <x v="1"/>
    </i>
    <i>
      <x v="2"/>
    </i>
    <i>
      <x v="3"/>
    </i>
    <i>
      <x v="4"/>
    </i>
    <i>
      <x v="5"/>
    </i>
    <i t="grand">
      <x/>
    </i>
  </colItems>
  <dataFields count="1">
    <dataField name="Sum of Profit ($)" fld="7" baseField="0" baseItem="0" numFmtId="165"/>
  </dataFields>
  <formats count="1">
    <format dxfId="7">
      <pivotArea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0" type="dateBetween" evalOrder="-1" id="18" name="Order Date">
      <autoFilter ref="A1">
        <filterColumn colId="0">
          <customFilters and="1">
            <customFilter operator="greaterThanOrEqual" val="4419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E6216-83D3-46A5-8C60-3F62C90027B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2:H19" firstHeaderRow="1" firstDataRow="2" firstDataCol="1"/>
  <pivotFields count="9">
    <pivotField showAll="0">
      <items count="275">
        <item x="141"/>
        <item x="151"/>
        <item x="226"/>
        <item x="2"/>
        <item x="155"/>
        <item x="182"/>
        <item x="233"/>
        <item x="248"/>
        <item x="245"/>
        <item x="71"/>
        <item x="133"/>
        <item x="49"/>
        <item x="181"/>
        <item x="13"/>
        <item x="111"/>
        <item x="145"/>
        <item x="116"/>
        <item x="122"/>
        <item x="178"/>
        <item x="150"/>
        <item x="25"/>
        <item x="14"/>
        <item x="186"/>
        <item x="112"/>
        <item x="234"/>
        <item x="96"/>
        <item x="20"/>
        <item x="99"/>
        <item x="101"/>
        <item x="120"/>
        <item x="255"/>
        <item x="157"/>
        <item x="109"/>
        <item x="61"/>
        <item x="138"/>
        <item x="162"/>
        <item x="147"/>
        <item x="152"/>
        <item x="103"/>
        <item x="231"/>
        <item x="50"/>
        <item x="241"/>
        <item x="5"/>
        <item x="165"/>
        <item x="121"/>
        <item x="272"/>
        <item x="29"/>
        <item x="42"/>
        <item x="266"/>
        <item x="128"/>
        <item x="221"/>
        <item x="215"/>
        <item x="57"/>
        <item x="148"/>
        <item x="204"/>
        <item x="214"/>
        <item x="85"/>
        <item x="47"/>
        <item x="6"/>
        <item x="218"/>
        <item x="12"/>
        <item x="54"/>
        <item x="235"/>
        <item x="265"/>
        <item x="176"/>
        <item x="208"/>
        <item x="210"/>
        <item x="80"/>
        <item x="40"/>
        <item x="192"/>
        <item x="52"/>
        <item x="163"/>
        <item x="191"/>
        <item x="156"/>
        <item x="45"/>
        <item x="239"/>
        <item x="56"/>
        <item x="254"/>
        <item x="11"/>
        <item x="258"/>
        <item x="237"/>
        <item x="35"/>
        <item x="107"/>
        <item x="115"/>
        <item x="89"/>
        <item x="136"/>
        <item x="24"/>
        <item x="201"/>
        <item x="140"/>
        <item x="213"/>
        <item x="252"/>
        <item x="46"/>
        <item x="184"/>
        <item x="188"/>
        <item x="48"/>
        <item x="28"/>
        <item x="36"/>
        <item x="228"/>
        <item x="240"/>
        <item x="166"/>
        <item x="197"/>
        <item x="55"/>
        <item x="256"/>
        <item x="104"/>
        <item x="69"/>
        <item x="253"/>
        <item x="110"/>
        <item x="270"/>
        <item x="88"/>
        <item x="134"/>
        <item x="17"/>
        <item x="62"/>
        <item x="183"/>
        <item x="200"/>
        <item x="262"/>
        <item x="77"/>
        <item x="74"/>
        <item x="63"/>
        <item x="9"/>
        <item x="123"/>
        <item x="33"/>
        <item x="207"/>
        <item x="139"/>
        <item x="216"/>
        <item x="232"/>
        <item x="202"/>
        <item x="267"/>
        <item x="91"/>
        <item x="251"/>
        <item x="81"/>
        <item x="124"/>
        <item x="135"/>
        <item x="76"/>
        <item x="171"/>
        <item x="41"/>
        <item x="130"/>
        <item x="222"/>
        <item x="243"/>
        <item x="209"/>
        <item x="60"/>
        <item x="18"/>
        <item x="223"/>
        <item x="100"/>
        <item x="187"/>
        <item x="220"/>
        <item x="173"/>
        <item x="58"/>
        <item x="51"/>
        <item x="224"/>
        <item x="263"/>
        <item x="1"/>
        <item x="161"/>
        <item x="271"/>
        <item x="167"/>
        <item x="144"/>
        <item x="261"/>
        <item x="65"/>
        <item x="154"/>
        <item x="86"/>
        <item x="8"/>
        <item x="67"/>
        <item x="4"/>
        <item x="242"/>
        <item x="0"/>
        <item x="142"/>
        <item x="211"/>
        <item x="174"/>
        <item x="16"/>
        <item x="106"/>
        <item x="260"/>
        <item x="131"/>
        <item x="94"/>
        <item x="66"/>
        <item x="246"/>
        <item x="38"/>
        <item x="179"/>
        <item x="114"/>
        <item x="3"/>
        <item x="264"/>
        <item x="21"/>
        <item x="175"/>
        <item x="27"/>
        <item x="83"/>
        <item x="37"/>
        <item x="172"/>
        <item x="146"/>
        <item x="259"/>
        <item x="219"/>
        <item x="26"/>
        <item x="87"/>
        <item x="117"/>
        <item x="53"/>
        <item x="168"/>
        <item x="149"/>
        <item x="180"/>
        <item x="199"/>
        <item x="153"/>
        <item x="137"/>
        <item x="70"/>
        <item x="22"/>
        <item x="90"/>
        <item x="249"/>
        <item x="34"/>
        <item x="244"/>
        <item x="193"/>
        <item x="170"/>
        <item x="196"/>
        <item x="127"/>
        <item x="206"/>
        <item x="225"/>
        <item x="257"/>
        <item x="160"/>
        <item x="108"/>
        <item x="189"/>
        <item x="194"/>
        <item x="247"/>
        <item x="30"/>
        <item x="230"/>
        <item x="19"/>
        <item x="169"/>
        <item x="95"/>
        <item x="198"/>
        <item x="190"/>
        <item x="79"/>
        <item x="205"/>
        <item x="73"/>
        <item x="129"/>
        <item x="132"/>
        <item x="59"/>
        <item x="143"/>
        <item x="195"/>
        <item x="126"/>
        <item x="212"/>
        <item x="269"/>
        <item x="238"/>
        <item x="7"/>
        <item x="118"/>
        <item x="125"/>
        <item x="97"/>
        <item x="15"/>
        <item x="102"/>
        <item x="229"/>
        <item x="164"/>
        <item x="64"/>
        <item x="227"/>
        <item x="177"/>
        <item x="10"/>
        <item x="93"/>
        <item x="44"/>
        <item x="68"/>
        <item x="217"/>
        <item x="92"/>
        <item x="75"/>
        <item x="43"/>
        <item x="185"/>
        <item x="39"/>
        <item x="113"/>
        <item x="31"/>
        <item x="72"/>
        <item x="250"/>
        <item x="78"/>
        <item x="119"/>
        <item x="84"/>
        <item x="159"/>
        <item x="98"/>
        <item x="236"/>
        <item x="32"/>
        <item x="158"/>
        <item x="268"/>
        <item x="105"/>
        <item x="82"/>
        <item x="23"/>
        <item x="203"/>
        <item x="273"/>
        <item t="default"/>
      </items>
    </pivotField>
    <pivotField axis="axisRow" showAll="0">
      <items count="7">
        <item x="2"/>
        <item x="3"/>
        <item x="1"/>
        <item x="0"/>
        <item x="4"/>
        <item x="5"/>
        <item t="default"/>
      </items>
    </pivotField>
    <pivotField axis="axisCol" showAll="0">
      <items count="8">
        <item x="0"/>
        <item x="5"/>
        <item x="1"/>
        <item x="4"/>
        <item x="2"/>
        <item x="3"/>
        <item h="1" x="6"/>
        <item t="default"/>
      </items>
    </pivotField>
    <pivotField showAll="0">
      <items count="7">
        <item x="1"/>
        <item x="3"/>
        <item x="0"/>
        <item x="2"/>
        <item x="4"/>
        <item h="1" x="5"/>
        <item t="default"/>
      </items>
    </pivotField>
    <pivotField dataField="1" showAll="0"/>
    <pivotField showAll="0"/>
    <pivotField showAll="0"/>
    <pivotField showAll="0"/>
    <pivotField showAll="0"/>
  </pivotFields>
  <rowFields count="1">
    <field x="1"/>
  </rowFields>
  <rowItems count="6">
    <i>
      <x/>
    </i>
    <i>
      <x v="1"/>
    </i>
    <i>
      <x v="2"/>
    </i>
    <i>
      <x v="3"/>
    </i>
    <i>
      <x v="4"/>
    </i>
    <i t="grand">
      <x/>
    </i>
  </rowItems>
  <colFields count="1">
    <field x="2"/>
  </colFields>
  <colItems count="7">
    <i>
      <x/>
    </i>
    <i>
      <x v="1"/>
    </i>
    <i>
      <x v="2"/>
    </i>
    <i>
      <x v="3"/>
    </i>
    <i>
      <x v="4"/>
    </i>
    <i>
      <x v="5"/>
    </i>
    <i t="grand">
      <x/>
    </i>
  </colItems>
  <dataFields count="1">
    <dataField name="Sum of Units Sold" fld="4" baseField="0" baseItem="0"/>
  </dataField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7" name="Order Date">
      <autoFilter ref="A1">
        <filterColumn colId="0">
          <customFilters and="1">
            <customFilter operator="greaterThanOrEqual" val="4419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A74804-AEF7-49B2-A1E3-FA19019BCC65}" sourceName="Year">
  <pivotTables>
    <pivotTable tabId="3" name="PivotTable1"/>
    <pivotTable tabId="3" name="PivotTable2"/>
    <pivotTable tabId="3" name="PivotTable3"/>
  </pivotTables>
  <data>
    <tabular pivotCacheId="1584088223">
      <items count="6">
        <i x="2" s="1"/>
        <i x="3" s="1"/>
        <i x="1" s="1"/>
        <i x="0"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062BF3B-C118-4C17-9092-7DDBBA74124A}" sourceName="Country">
  <pivotTables>
    <pivotTable tabId="3" name="PivotTable1"/>
    <pivotTable tabId="3" name="PivotTable2"/>
    <pivotTable tabId="3" name="PivotTable3"/>
  </pivotTables>
  <data>
    <tabular pivotCacheId="1584088223">
      <items count="7">
        <i x="0" s="1"/>
        <i x="5" s="1"/>
        <i x="1" s="1"/>
        <i x="4" s="1"/>
        <i x="2" s="1"/>
        <i x="3" s="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6ECF442-2AB2-4716-A0A3-317BF3C3E695}" sourceName="Model">
  <pivotTables>
    <pivotTable tabId="3" name="PivotTable2"/>
    <pivotTable tabId="3" name="PivotTable1"/>
    <pivotTable tabId="3" name="PivotTable3"/>
  </pivotTables>
  <data>
    <tabular pivotCacheId="1584088223">
      <items count="6">
        <i x="1" s="1"/>
        <i x="3" s="1"/>
        <i x="0" s="1"/>
        <i x="2" s="1"/>
        <i x="4" s="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F820EA2-F4EF-4617-8470-7B0DFA7F8C07}" cache="Slicer_Year" caption="Year" rowHeight="241300"/>
  <slicer name="Country" xr10:uid="{74412790-E0A1-4AC3-BEAF-C73BFE9B69EB}" cache="Slicer_Country" caption="Country" rowHeight="241300"/>
  <slicer name="Model" xr10:uid="{BD363D03-4DA7-473D-A7DA-5D0AA0453BE3}" cache="Slicer_Model" caption="Mod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74F81C5-9D81-43EA-8434-E1B6D462569F}" sourceName="Order Date">
  <pivotTables>
    <pivotTable tabId="3" name="PivotTable3"/>
    <pivotTable tabId="3" name="PivotTable1"/>
    <pivotTable tabId="3" name="PivotTable2"/>
  </pivotTables>
  <state minimalRefreshVersion="6" lastRefreshVersion="6" pivotCacheId="1584088223" filterType="dateBetween">
    <selection startDate="2021-01-01T00:00:00" endDate="2025-12-31T00:00:00"/>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9906314-294A-49A9-8470-828181520770}" cache="NativeTimeline_Order_Date" caption="Order Date" level="2" selectionLevel="0" scrollPosition="2021-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AFE3-5A20-47B6-B609-48389E02F80B}">
  <dimension ref="A3:H28"/>
  <sheetViews>
    <sheetView tabSelected="1" topLeftCell="A28" workbookViewId="0">
      <selection activeCell="B1" sqref="B1:H1048576"/>
    </sheetView>
  </sheetViews>
  <sheetFormatPr defaultRowHeight="15" x14ac:dyDescent="0.25"/>
  <cols>
    <col min="1" max="1" width="16.7109375" bestFit="1" customWidth="1"/>
    <col min="2" max="2" width="16.28515625" bestFit="1" customWidth="1"/>
    <col min="3" max="7" width="12.5703125" bestFit="1" customWidth="1"/>
    <col min="8" max="8" width="13.7109375" bestFit="1" customWidth="1"/>
    <col min="9" max="9" width="11.28515625" bestFit="1" customWidth="1"/>
    <col min="10" max="10" width="11.5703125" bestFit="1" customWidth="1"/>
    <col min="11" max="11" width="15.5703125" bestFit="1" customWidth="1"/>
    <col min="12" max="12" width="11.7109375" bestFit="1" customWidth="1"/>
    <col min="13" max="13" width="15.5703125" bestFit="1" customWidth="1"/>
    <col min="14" max="14" width="11.5703125" bestFit="1" customWidth="1"/>
    <col min="15" max="15" width="15.5703125" bestFit="1" customWidth="1"/>
    <col min="16" max="16" width="16.5703125" bestFit="1" customWidth="1"/>
    <col min="17" max="17" width="20.5703125" bestFit="1" customWidth="1"/>
  </cols>
  <sheetData>
    <row r="3" spans="1:8" x14ac:dyDescent="0.25">
      <c r="A3" s="3" t="s">
        <v>22</v>
      </c>
      <c r="B3" s="3" t="s">
        <v>23</v>
      </c>
    </row>
    <row r="4" spans="1:8" x14ac:dyDescent="0.25">
      <c r="A4" s="3" t="s">
        <v>20</v>
      </c>
      <c r="B4" t="s">
        <v>7</v>
      </c>
      <c r="C4" t="s">
        <v>17</v>
      </c>
      <c r="D4" t="s">
        <v>9</v>
      </c>
      <c r="E4" t="s">
        <v>16</v>
      </c>
      <c r="F4" t="s">
        <v>11</v>
      </c>
      <c r="G4" t="s">
        <v>15</v>
      </c>
      <c r="H4" t="s">
        <v>21</v>
      </c>
    </row>
    <row r="5" spans="1:8" x14ac:dyDescent="0.25">
      <c r="A5" s="4">
        <v>2021</v>
      </c>
      <c r="B5" s="5">
        <v>4343052</v>
      </c>
      <c r="C5" s="5">
        <v>5112111</v>
      </c>
      <c r="D5" s="5">
        <v>10639955</v>
      </c>
      <c r="E5" s="5">
        <v>4980913</v>
      </c>
      <c r="F5" s="5">
        <v>4114815</v>
      </c>
      <c r="G5" s="5">
        <v>3994591</v>
      </c>
      <c r="H5" s="5">
        <v>33185437</v>
      </c>
    </row>
    <row r="6" spans="1:8" x14ac:dyDescent="0.25">
      <c r="A6" s="4">
        <v>2022</v>
      </c>
      <c r="B6" s="5">
        <v>6333326</v>
      </c>
      <c r="C6" s="5">
        <v>8544812</v>
      </c>
      <c r="D6" s="5"/>
      <c r="E6" s="5">
        <v>5158582</v>
      </c>
      <c r="F6" s="5">
        <v>6067401</v>
      </c>
      <c r="G6" s="5">
        <v>2536335</v>
      </c>
      <c r="H6" s="5">
        <v>28640456</v>
      </c>
    </row>
    <row r="7" spans="1:8" x14ac:dyDescent="0.25">
      <c r="A7" s="4">
        <v>2023</v>
      </c>
      <c r="B7" s="5">
        <v>3103051</v>
      </c>
      <c r="C7" s="5">
        <v>12507001</v>
      </c>
      <c r="D7" s="5">
        <v>8592734</v>
      </c>
      <c r="E7" s="5">
        <v>5130206</v>
      </c>
      <c r="F7" s="5">
        <v>6813228</v>
      </c>
      <c r="G7" s="5">
        <v>5276912</v>
      </c>
      <c r="H7" s="5">
        <v>41423132</v>
      </c>
    </row>
    <row r="8" spans="1:8" x14ac:dyDescent="0.25">
      <c r="A8" s="4">
        <v>2024</v>
      </c>
      <c r="B8" s="5">
        <v>4242869</v>
      </c>
      <c r="C8" s="5">
        <v>4855332</v>
      </c>
      <c r="D8" s="5">
        <v>4946454</v>
      </c>
      <c r="E8" s="5">
        <v>5156229</v>
      </c>
      <c r="F8" s="5">
        <v>11343112</v>
      </c>
      <c r="G8" s="5">
        <v>5615698</v>
      </c>
      <c r="H8" s="5">
        <v>36159694</v>
      </c>
    </row>
    <row r="9" spans="1:8" x14ac:dyDescent="0.25">
      <c r="A9" s="4">
        <v>2025</v>
      </c>
      <c r="B9" s="5">
        <v>6534881</v>
      </c>
      <c r="C9" s="5">
        <v>4790931</v>
      </c>
      <c r="D9" s="5">
        <v>8375041</v>
      </c>
      <c r="E9" s="5">
        <v>4958057</v>
      </c>
      <c r="F9" s="5">
        <v>5731956</v>
      </c>
      <c r="G9" s="5">
        <v>5297300</v>
      </c>
      <c r="H9" s="5">
        <v>35688166</v>
      </c>
    </row>
    <row r="10" spans="1:8" x14ac:dyDescent="0.25">
      <c r="A10" s="4" t="s">
        <v>21</v>
      </c>
      <c r="B10" s="5">
        <v>24557179</v>
      </c>
      <c r="C10" s="5">
        <v>35810187</v>
      </c>
      <c r="D10" s="5">
        <v>32554184</v>
      </c>
      <c r="E10" s="5">
        <v>25383987</v>
      </c>
      <c r="F10" s="5">
        <v>34070512</v>
      </c>
      <c r="G10" s="5">
        <v>22720836</v>
      </c>
      <c r="H10" s="5">
        <v>175096885</v>
      </c>
    </row>
    <row r="12" spans="1:8" x14ac:dyDescent="0.25">
      <c r="A12" s="3" t="s">
        <v>24</v>
      </c>
      <c r="B12" s="3" t="s">
        <v>23</v>
      </c>
    </row>
    <row r="13" spans="1:8" x14ac:dyDescent="0.25">
      <c r="A13" s="3" t="s">
        <v>20</v>
      </c>
      <c r="B13" t="s">
        <v>7</v>
      </c>
      <c r="C13" t="s">
        <v>17</v>
      </c>
      <c r="D13" t="s">
        <v>9</v>
      </c>
      <c r="E13" t="s">
        <v>16</v>
      </c>
      <c r="F13" t="s">
        <v>11</v>
      </c>
      <c r="G13" t="s">
        <v>15</v>
      </c>
      <c r="H13" t="s">
        <v>21</v>
      </c>
    </row>
    <row r="14" spans="1:8" x14ac:dyDescent="0.25">
      <c r="A14" s="4">
        <v>2021</v>
      </c>
      <c r="B14" s="6">
        <v>134528</v>
      </c>
      <c r="C14" s="6">
        <v>170587</v>
      </c>
      <c r="D14" s="6">
        <v>313404</v>
      </c>
      <c r="E14" s="6">
        <v>155848</v>
      </c>
      <c r="F14" s="6">
        <v>133396</v>
      </c>
      <c r="G14" s="6">
        <v>110370</v>
      </c>
      <c r="H14" s="6">
        <v>1018133</v>
      </c>
    </row>
    <row r="15" spans="1:8" x14ac:dyDescent="0.25">
      <c r="A15" s="4">
        <v>2022</v>
      </c>
      <c r="B15" s="6">
        <v>202708</v>
      </c>
      <c r="C15" s="6">
        <v>275338</v>
      </c>
      <c r="D15" s="6"/>
      <c r="E15" s="6">
        <v>171889</v>
      </c>
      <c r="F15" s="6">
        <v>169469</v>
      </c>
      <c r="G15" s="6">
        <v>71943</v>
      </c>
      <c r="H15" s="6">
        <v>891347</v>
      </c>
    </row>
    <row r="16" spans="1:8" x14ac:dyDescent="0.25">
      <c r="A16" s="4">
        <v>2023</v>
      </c>
      <c r="B16" s="6">
        <v>104202</v>
      </c>
      <c r="C16" s="6">
        <v>360317</v>
      </c>
      <c r="D16" s="6">
        <v>257232</v>
      </c>
      <c r="E16" s="6">
        <v>152309</v>
      </c>
      <c r="F16" s="6">
        <v>209078</v>
      </c>
      <c r="G16" s="6">
        <v>146473</v>
      </c>
      <c r="H16" s="6">
        <v>1229611</v>
      </c>
    </row>
    <row r="17" spans="1:8" x14ac:dyDescent="0.25">
      <c r="A17" s="4">
        <v>2024</v>
      </c>
      <c r="B17" s="6">
        <v>124216</v>
      </c>
      <c r="C17" s="6">
        <v>169508</v>
      </c>
      <c r="D17" s="6">
        <v>144327</v>
      </c>
      <c r="E17" s="6">
        <v>178957</v>
      </c>
      <c r="F17" s="6">
        <v>341147</v>
      </c>
      <c r="G17" s="6">
        <v>179669</v>
      </c>
      <c r="H17" s="6">
        <v>1137824</v>
      </c>
    </row>
    <row r="18" spans="1:8" x14ac:dyDescent="0.25">
      <c r="A18" s="4">
        <v>2025</v>
      </c>
      <c r="B18" s="6">
        <v>211733</v>
      </c>
      <c r="C18" s="6">
        <v>164404</v>
      </c>
      <c r="D18" s="6">
        <v>211170</v>
      </c>
      <c r="E18" s="6">
        <v>154844</v>
      </c>
      <c r="F18" s="6">
        <v>181865</v>
      </c>
      <c r="G18" s="6">
        <v>160033</v>
      </c>
      <c r="H18" s="6">
        <v>1084049</v>
      </c>
    </row>
    <row r="19" spans="1:8" x14ac:dyDescent="0.25">
      <c r="A19" s="4" t="s">
        <v>21</v>
      </c>
      <c r="B19" s="6">
        <v>777387</v>
      </c>
      <c r="C19" s="6">
        <v>1140154</v>
      </c>
      <c r="D19" s="6">
        <v>926133</v>
      </c>
      <c r="E19" s="6">
        <v>813847</v>
      </c>
      <c r="F19" s="6">
        <v>1034955</v>
      </c>
      <c r="G19" s="6">
        <v>668488</v>
      </c>
      <c r="H19" s="6">
        <v>5360964</v>
      </c>
    </row>
    <row r="21" spans="1:8" x14ac:dyDescent="0.25">
      <c r="A21" s="3" t="s">
        <v>25</v>
      </c>
      <c r="B21" s="3" t="s">
        <v>23</v>
      </c>
    </row>
    <row r="22" spans="1:8" x14ac:dyDescent="0.25">
      <c r="A22" s="3" t="s">
        <v>20</v>
      </c>
      <c r="B22" t="s">
        <v>7</v>
      </c>
      <c r="C22" t="s">
        <v>17</v>
      </c>
      <c r="D22" t="s">
        <v>9</v>
      </c>
      <c r="E22" t="s">
        <v>16</v>
      </c>
      <c r="F22" t="s">
        <v>11</v>
      </c>
      <c r="G22" t="s">
        <v>15</v>
      </c>
      <c r="H22" t="s">
        <v>21</v>
      </c>
    </row>
    <row r="23" spans="1:8" x14ac:dyDescent="0.25">
      <c r="A23" s="4">
        <v>2021</v>
      </c>
      <c r="B23" s="5">
        <v>1490257</v>
      </c>
      <c r="C23" s="5">
        <v>1442264</v>
      </c>
      <c r="D23" s="5">
        <v>3714120</v>
      </c>
      <c r="E23" s="5">
        <v>1717075</v>
      </c>
      <c r="F23" s="5">
        <v>1482713</v>
      </c>
      <c r="G23" s="5">
        <v>1598768</v>
      </c>
      <c r="H23" s="5">
        <v>11445197</v>
      </c>
    </row>
    <row r="24" spans="1:8" x14ac:dyDescent="0.25">
      <c r="A24" s="4">
        <v>2022</v>
      </c>
      <c r="B24" s="5">
        <v>2653520</v>
      </c>
      <c r="C24" s="5">
        <v>2659023</v>
      </c>
      <c r="D24" s="5"/>
      <c r="E24" s="5">
        <v>2340351</v>
      </c>
      <c r="F24" s="5">
        <v>2158261</v>
      </c>
      <c r="G24" s="5">
        <v>1230247</v>
      </c>
      <c r="H24" s="5">
        <v>11041402</v>
      </c>
    </row>
    <row r="25" spans="1:8" x14ac:dyDescent="0.25">
      <c r="A25" s="4">
        <v>2023</v>
      </c>
      <c r="B25" s="5">
        <v>828514</v>
      </c>
      <c r="C25" s="5">
        <v>4266693</v>
      </c>
      <c r="D25" s="5">
        <v>3071771</v>
      </c>
      <c r="E25" s="5">
        <v>2218729</v>
      </c>
      <c r="F25" s="5">
        <v>2721776</v>
      </c>
      <c r="G25" s="5">
        <v>2217195</v>
      </c>
      <c r="H25" s="5">
        <v>15324678</v>
      </c>
    </row>
    <row r="26" spans="1:8" x14ac:dyDescent="0.25">
      <c r="A26" s="4">
        <v>2024</v>
      </c>
      <c r="B26" s="5">
        <v>1616690</v>
      </c>
      <c r="C26" s="5">
        <v>2118350</v>
      </c>
      <c r="D26" s="5">
        <v>1729541</v>
      </c>
      <c r="E26" s="5">
        <v>1199530</v>
      </c>
      <c r="F26" s="5">
        <v>5016104</v>
      </c>
      <c r="G26" s="5">
        <v>2145138</v>
      </c>
      <c r="H26" s="5">
        <v>13825353</v>
      </c>
    </row>
    <row r="27" spans="1:8" x14ac:dyDescent="0.25">
      <c r="A27" s="4">
        <v>2025</v>
      </c>
      <c r="B27" s="5">
        <v>2114607</v>
      </c>
      <c r="C27" s="5">
        <v>1463458</v>
      </c>
      <c r="D27" s="5">
        <v>4392754</v>
      </c>
      <c r="E27" s="5">
        <v>2214061</v>
      </c>
      <c r="F27" s="5">
        <v>1867875</v>
      </c>
      <c r="G27" s="5">
        <v>2187649</v>
      </c>
      <c r="H27" s="5">
        <v>14240404</v>
      </c>
    </row>
    <row r="28" spans="1:8" x14ac:dyDescent="0.25">
      <c r="A28" s="4" t="s">
        <v>21</v>
      </c>
      <c r="B28" s="5">
        <v>8703588</v>
      </c>
      <c r="C28" s="5">
        <v>11949788</v>
      </c>
      <c r="D28" s="5">
        <v>12908186</v>
      </c>
      <c r="E28" s="5">
        <v>9689746</v>
      </c>
      <c r="F28" s="5">
        <v>13246729</v>
      </c>
      <c r="G28" s="5">
        <v>9378997</v>
      </c>
      <c r="H28" s="5">
        <v>65877034</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1"/>
  <sheetViews>
    <sheetView workbookViewId="0">
      <selection sqref="A1:I1048576"/>
    </sheetView>
  </sheetViews>
  <sheetFormatPr defaultRowHeight="15" x14ac:dyDescent="0.25"/>
  <cols>
    <col min="1" max="1" width="14.42578125" customWidth="1"/>
    <col min="6" max="6" width="14.28515625" style="2" bestFit="1" customWidth="1"/>
    <col min="7" max="7" width="12.5703125" style="2" bestFit="1" customWidth="1"/>
    <col min="8" max="8" width="13.42578125" style="2" bestFit="1" customWidth="1"/>
    <col min="9" max="9" width="16" style="2" customWidth="1"/>
  </cols>
  <sheetData>
    <row r="1" spans="1:9" x14ac:dyDescent="0.25">
      <c r="A1" t="s">
        <v>0</v>
      </c>
      <c r="B1" t="s">
        <v>1</v>
      </c>
      <c r="C1" t="s">
        <v>2</v>
      </c>
      <c r="D1" t="s">
        <v>3</v>
      </c>
      <c r="E1" t="s">
        <v>4</v>
      </c>
      <c r="F1" s="2" t="s">
        <v>5</v>
      </c>
      <c r="G1" s="2" t="s">
        <v>6</v>
      </c>
      <c r="H1" s="2" t="s">
        <v>18</v>
      </c>
      <c r="I1" s="2" t="s">
        <v>19</v>
      </c>
    </row>
    <row r="2" spans="1:9" x14ac:dyDescent="0.25">
      <c r="A2" s="1">
        <v>45313</v>
      </c>
      <c r="B2">
        <v>2024</v>
      </c>
      <c r="C2" t="s">
        <v>7</v>
      </c>
      <c r="D2" t="s">
        <v>8</v>
      </c>
      <c r="E2">
        <v>5153</v>
      </c>
      <c r="F2" s="2">
        <v>123672</v>
      </c>
      <c r="G2" s="2">
        <v>113366</v>
      </c>
      <c r="H2" s="2">
        <f>F2-G2</f>
        <v>10306</v>
      </c>
      <c r="I2" s="2">
        <f>F2/E2</f>
        <v>24</v>
      </c>
    </row>
    <row r="3" spans="1:9" x14ac:dyDescent="0.25">
      <c r="A3" s="1">
        <v>45241</v>
      </c>
      <c r="B3">
        <v>2023</v>
      </c>
      <c r="C3" t="s">
        <v>9</v>
      </c>
      <c r="D3" t="s">
        <v>10</v>
      </c>
      <c r="E3">
        <v>11156</v>
      </c>
      <c r="F3" s="2">
        <v>490864</v>
      </c>
      <c r="G3" s="2">
        <v>278900</v>
      </c>
      <c r="H3" s="2">
        <f t="shared" ref="H3:H66" si="0">F3-G3</f>
        <v>211964</v>
      </c>
      <c r="I3" s="2">
        <f t="shared" ref="I3:I66" si="1">F3/E3</f>
        <v>44</v>
      </c>
    </row>
    <row r="4" spans="1:9" x14ac:dyDescent="0.25">
      <c r="A4" s="1">
        <v>44215</v>
      </c>
      <c r="B4">
        <v>2021</v>
      </c>
      <c r="C4" t="s">
        <v>11</v>
      </c>
      <c r="D4" t="s">
        <v>12</v>
      </c>
      <c r="E4">
        <v>23318</v>
      </c>
      <c r="F4" s="2">
        <v>489678</v>
      </c>
      <c r="G4" s="2">
        <v>489678</v>
      </c>
      <c r="H4" s="2">
        <f t="shared" si="0"/>
        <v>0</v>
      </c>
      <c r="I4" s="2">
        <f t="shared" si="1"/>
        <v>21</v>
      </c>
    </row>
    <row r="5" spans="1:9" x14ac:dyDescent="0.25">
      <c r="A5" s="1">
        <v>45426</v>
      </c>
      <c r="B5">
        <v>2024</v>
      </c>
      <c r="C5" t="s">
        <v>9</v>
      </c>
      <c r="D5" t="s">
        <v>12</v>
      </c>
      <c r="E5">
        <v>10759</v>
      </c>
      <c r="F5" s="2">
        <v>279734</v>
      </c>
      <c r="G5" s="2">
        <v>225939</v>
      </c>
      <c r="H5" s="2">
        <f t="shared" si="0"/>
        <v>53795</v>
      </c>
      <c r="I5" s="2">
        <f t="shared" si="1"/>
        <v>26</v>
      </c>
    </row>
    <row r="6" spans="1:9" x14ac:dyDescent="0.25">
      <c r="A6" s="1">
        <v>45300</v>
      </c>
      <c r="B6">
        <v>2024</v>
      </c>
      <c r="C6" t="s">
        <v>11</v>
      </c>
      <c r="D6" t="s">
        <v>8</v>
      </c>
      <c r="E6">
        <v>20513</v>
      </c>
      <c r="F6" s="2">
        <v>923085</v>
      </c>
      <c r="G6" s="2">
        <v>533338</v>
      </c>
      <c r="H6" s="2">
        <f t="shared" si="0"/>
        <v>389747</v>
      </c>
      <c r="I6" s="2">
        <f t="shared" si="1"/>
        <v>45</v>
      </c>
    </row>
    <row r="7" spans="1:9" x14ac:dyDescent="0.25">
      <c r="A7" s="1">
        <v>44523</v>
      </c>
      <c r="B7">
        <v>2021</v>
      </c>
      <c r="C7" t="s">
        <v>9</v>
      </c>
      <c r="D7" t="s">
        <v>13</v>
      </c>
      <c r="E7">
        <v>9340</v>
      </c>
      <c r="F7" s="2">
        <v>317560</v>
      </c>
      <c r="G7" s="2">
        <v>224160</v>
      </c>
      <c r="H7" s="2">
        <f t="shared" si="0"/>
        <v>93400</v>
      </c>
      <c r="I7" s="2">
        <f t="shared" si="1"/>
        <v>34</v>
      </c>
    </row>
    <row r="8" spans="1:9" x14ac:dyDescent="0.25">
      <c r="A8" s="1">
        <v>44623</v>
      </c>
      <c r="B8">
        <v>2022</v>
      </c>
      <c r="C8" t="s">
        <v>7</v>
      </c>
      <c r="D8" t="s">
        <v>13</v>
      </c>
      <c r="E8">
        <v>22536</v>
      </c>
      <c r="F8" s="2">
        <v>811296</v>
      </c>
      <c r="G8" s="2">
        <v>270432</v>
      </c>
      <c r="H8" s="2">
        <f t="shared" si="0"/>
        <v>540864</v>
      </c>
      <c r="I8" s="2">
        <f t="shared" si="1"/>
        <v>36</v>
      </c>
    </row>
    <row r="9" spans="1:9" x14ac:dyDescent="0.25">
      <c r="A9" s="1">
        <v>45779</v>
      </c>
      <c r="B9">
        <v>2025</v>
      </c>
      <c r="C9" t="s">
        <v>9</v>
      </c>
      <c r="D9" t="s">
        <v>14</v>
      </c>
      <c r="E9">
        <v>29921</v>
      </c>
      <c r="F9" s="2">
        <v>1017314</v>
      </c>
      <c r="G9" s="2">
        <v>568499</v>
      </c>
      <c r="H9" s="2">
        <f t="shared" si="0"/>
        <v>448815</v>
      </c>
      <c r="I9" s="2">
        <f t="shared" si="1"/>
        <v>34</v>
      </c>
    </row>
    <row r="10" spans="1:9" x14ac:dyDescent="0.25">
      <c r="A10" s="1">
        <v>45288</v>
      </c>
      <c r="B10">
        <v>2023</v>
      </c>
      <c r="C10" t="s">
        <v>15</v>
      </c>
      <c r="D10" t="s">
        <v>10</v>
      </c>
      <c r="E10">
        <v>21769</v>
      </c>
      <c r="F10" s="2">
        <v>740146</v>
      </c>
      <c r="G10" s="2">
        <v>326535</v>
      </c>
      <c r="H10" s="2">
        <f t="shared" si="0"/>
        <v>413611</v>
      </c>
      <c r="I10" s="2">
        <f t="shared" si="1"/>
        <v>34</v>
      </c>
    </row>
    <row r="11" spans="1:9" x14ac:dyDescent="0.25">
      <c r="A11" s="1">
        <v>45057</v>
      </c>
      <c r="B11">
        <v>2023</v>
      </c>
      <c r="C11" t="s">
        <v>7</v>
      </c>
      <c r="D11" t="s">
        <v>12</v>
      </c>
      <c r="E11">
        <v>20357</v>
      </c>
      <c r="F11" s="2">
        <v>549639</v>
      </c>
      <c r="G11" s="2">
        <v>488568</v>
      </c>
      <c r="H11" s="2">
        <f t="shared" si="0"/>
        <v>61071</v>
      </c>
      <c r="I11" s="2">
        <f t="shared" si="1"/>
        <v>27</v>
      </c>
    </row>
    <row r="12" spans="1:9" x14ac:dyDescent="0.25">
      <c r="A12" s="1">
        <v>45855</v>
      </c>
      <c r="B12">
        <v>2025</v>
      </c>
      <c r="C12" t="s">
        <v>7</v>
      </c>
      <c r="D12" t="s">
        <v>10</v>
      </c>
      <c r="E12">
        <v>28159</v>
      </c>
      <c r="F12" s="2">
        <v>619498</v>
      </c>
      <c r="G12" s="2">
        <v>450544</v>
      </c>
      <c r="H12" s="2">
        <f t="shared" si="0"/>
        <v>168954</v>
      </c>
      <c r="I12" s="2">
        <f t="shared" si="1"/>
        <v>22</v>
      </c>
    </row>
    <row r="13" spans="1:9" x14ac:dyDescent="0.25">
      <c r="A13" s="1">
        <v>44801</v>
      </c>
      <c r="B13">
        <v>2022</v>
      </c>
      <c r="C13" t="s">
        <v>15</v>
      </c>
      <c r="D13" t="s">
        <v>8</v>
      </c>
      <c r="E13">
        <v>16919</v>
      </c>
      <c r="F13" s="2">
        <v>389137</v>
      </c>
      <c r="G13" s="2">
        <v>321461</v>
      </c>
      <c r="H13" s="2">
        <f t="shared" si="0"/>
        <v>67676</v>
      </c>
      <c r="I13" s="2">
        <f t="shared" si="1"/>
        <v>23</v>
      </c>
    </row>
    <row r="14" spans="1:9" x14ac:dyDescent="0.25">
      <c r="A14" s="1">
        <v>44637</v>
      </c>
      <c r="B14">
        <v>2022</v>
      </c>
      <c r="C14" t="s">
        <v>16</v>
      </c>
      <c r="D14" t="s">
        <v>10</v>
      </c>
      <c r="E14">
        <v>28438</v>
      </c>
      <c r="F14" s="2">
        <v>625636</v>
      </c>
      <c r="G14" s="2">
        <v>369694</v>
      </c>
      <c r="H14" s="2">
        <f t="shared" si="0"/>
        <v>255942</v>
      </c>
      <c r="I14" s="2">
        <f t="shared" si="1"/>
        <v>22</v>
      </c>
    </row>
    <row r="15" spans="1:9" x14ac:dyDescent="0.25">
      <c r="A15" s="1">
        <v>44262</v>
      </c>
      <c r="B15">
        <v>2021</v>
      </c>
      <c r="C15" t="s">
        <v>7</v>
      </c>
      <c r="D15" t="s">
        <v>12</v>
      </c>
      <c r="E15">
        <v>17479</v>
      </c>
      <c r="F15" s="2">
        <v>541849</v>
      </c>
      <c r="G15" s="2">
        <v>297143</v>
      </c>
      <c r="H15" s="2">
        <f t="shared" si="0"/>
        <v>244706</v>
      </c>
      <c r="I15" s="2">
        <f t="shared" si="1"/>
        <v>31</v>
      </c>
    </row>
    <row r="16" spans="1:9" x14ac:dyDescent="0.25">
      <c r="A16" s="1">
        <v>44324</v>
      </c>
      <c r="B16">
        <v>2021</v>
      </c>
      <c r="C16" t="s">
        <v>9</v>
      </c>
      <c r="D16" t="s">
        <v>14</v>
      </c>
      <c r="E16">
        <v>8558</v>
      </c>
      <c r="F16" s="2">
        <v>171160</v>
      </c>
      <c r="G16" s="2">
        <v>162602</v>
      </c>
      <c r="H16" s="2">
        <f t="shared" si="0"/>
        <v>8558</v>
      </c>
      <c r="I16" s="2">
        <f t="shared" si="1"/>
        <v>20</v>
      </c>
    </row>
    <row r="17" spans="1:9" x14ac:dyDescent="0.25">
      <c r="A17" s="1">
        <v>45788</v>
      </c>
      <c r="B17">
        <v>2025</v>
      </c>
      <c r="C17" t="s">
        <v>16</v>
      </c>
      <c r="D17" t="s">
        <v>10</v>
      </c>
      <c r="E17">
        <v>23478</v>
      </c>
      <c r="F17" s="2">
        <v>892164</v>
      </c>
      <c r="G17" s="2">
        <v>610428</v>
      </c>
      <c r="H17" s="2">
        <f t="shared" si="0"/>
        <v>281736</v>
      </c>
      <c r="I17" s="2">
        <f t="shared" si="1"/>
        <v>38</v>
      </c>
    </row>
    <row r="18" spans="1:9" x14ac:dyDescent="0.25">
      <c r="A18" s="1">
        <v>45344</v>
      </c>
      <c r="B18">
        <v>2024</v>
      </c>
      <c r="C18" t="s">
        <v>11</v>
      </c>
      <c r="D18" t="s">
        <v>13</v>
      </c>
      <c r="E18">
        <v>29449</v>
      </c>
      <c r="F18" s="2">
        <v>795123</v>
      </c>
      <c r="G18" s="2">
        <v>559531</v>
      </c>
      <c r="H18" s="2">
        <f t="shared" si="0"/>
        <v>235592</v>
      </c>
      <c r="I18" s="2">
        <f t="shared" si="1"/>
        <v>27</v>
      </c>
    </row>
    <row r="19" spans="1:9" x14ac:dyDescent="0.25">
      <c r="A19" s="1">
        <v>45026</v>
      </c>
      <c r="B19">
        <v>2023</v>
      </c>
      <c r="C19" t="s">
        <v>9</v>
      </c>
      <c r="D19" t="s">
        <v>10</v>
      </c>
      <c r="E19">
        <v>17093</v>
      </c>
      <c r="F19" s="2">
        <v>546976</v>
      </c>
      <c r="G19" s="2">
        <v>393139</v>
      </c>
      <c r="H19" s="2">
        <f t="shared" si="0"/>
        <v>153837</v>
      </c>
      <c r="I19" s="2">
        <f t="shared" si="1"/>
        <v>32</v>
      </c>
    </row>
    <row r="20" spans="1:9" x14ac:dyDescent="0.25">
      <c r="A20" s="1">
        <v>45184</v>
      </c>
      <c r="B20">
        <v>2023</v>
      </c>
      <c r="C20" t="s">
        <v>7</v>
      </c>
      <c r="D20" t="s">
        <v>13</v>
      </c>
      <c r="E20">
        <v>12317</v>
      </c>
      <c r="F20" s="2">
        <v>283291</v>
      </c>
      <c r="G20" s="2">
        <v>344876</v>
      </c>
      <c r="H20" s="2">
        <f t="shared" si="0"/>
        <v>-61585</v>
      </c>
      <c r="I20" s="2">
        <f t="shared" si="1"/>
        <v>23</v>
      </c>
    </row>
    <row r="21" spans="1:9" x14ac:dyDescent="0.25">
      <c r="A21" s="1">
        <v>45644</v>
      </c>
      <c r="B21">
        <v>2024</v>
      </c>
      <c r="C21" t="s">
        <v>17</v>
      </c>
      <c r="D21" t="s">
        <v>12</v>
      </c>
      <c r="E21">
        <v>29162</v>
      </c>
      <c r="F21" s="2">
        <v>1137318</v>
      </c>
      <c r="G21" s="2">
        <v>349944</v>
      </c>
      <c r="H21" s="2">
        <f t="shared" si="0"/>
        <v>787374</v>
      </c>
      <c r="I21" s="2">
        <f t="shared" si="1"/>
        <v>39</v>
      </c>
    </row>
    <row r="22" spans="1:9" x14ac:dyDescent="0.25">
      <c r="A22" s="1">
        <v>44359</v>
      </c>
      <c r="B22">
        <v>2021</v>
      </c>
      <c r="C22" t="s">
        <v>17</v>
      </c>
      <c r="D22" t="s">
        <v>13</v>
      </c>
      <c r="E22">
        <v>21743</v>
      </c>
      <c r="F22" s="2">
        <v>500089</v>
      </c>
      <c r="G22" s="2">
        <v>456603</v>
      </c>
      <c r="H22" s="2">
        <f t="shared" si="0"/>
        <v>43486</v>
      </c>
      <c r="I22" s="2">
        <f t="shared" si="1"/>
        <v>23</v>
      </c>
    </row>
    <row r="23" spans="1:9" x14ac:dyDescent="0.25">
      <c r="A23" s="1">
        <v>45449</v>
      </c>
      <c r="B23">
        <v>2024</v>
      </c>
      <c r="C23" t="s">
        <v>17</v>
      </c>
      <c r="D23" t="s">
        <v>14</v>
      </c>
      <c r="E23">
        <v>28420</v>
      </c>
      <c r="F23" s="2">
        <v>596820</v>
      </c>
      <c r="G23" s="2">
        <v>341040</v>
      </c>
      <c r="H23" s="2">
        <f t="shared" si="0"/>
        <v>255780</v>
      </c>
      <c r="I23" s="2">
        <f t="shared" si="1"/>
        <v>21</v>
      </c>
    </row>
    <row r="24" spans="1:9" x14ac:dyDescent="0.25">
      <c r="A24" s="1">
        <v>45559</v>
      </c>
      <c r="B24">
        <v>2024</v>
      </c>
      <c r="C24" t="s">
        <v>16</v>
      </c>
      <c r="D24" t="s">
        <v>10</v>
      </c>
      <c r="E24">
        <v>24132</v>
      </c>
      <c r="F24" s="2">
        <v>892884</v>
      </c>
      <c r="G24" s="2">
        <v>555036</v>
      </c>
      <c r="H24" s="2">
        <f t="shared" si="0"/>
        <v>337848</v>
      </c>
      <c r="I24" s="2">
        <f t="shared" si="1"/>
        <v>37</v>
      </c>
    </row>
    <row r="25" spans="1:9" x14ac:dyDescent="0.25">
      <c r="A25" s="1">
        <v>46010</v>
      </c>
      <c r="B25">
        <v>2025</v>
      </c>
      <c r="C25" t="s">
        <v>7</v>
      </c>
      <c r="D25" t="s">
        <v>13</v>
      </c>
      <c r="E25">
        <v>17817</v>
      </c>
      <c r="F25" s="2">
        <v>374157</v>
      </c>
      <c r="G25" s="2">
        <v>374157</v>
      </c>
      <c r="H25" s="2">
        <f t="shared" si="0"/>
        <v>0</v>
      </c>
      <c r="I25" s="2">
        <f t="shared" si="1"/>
        <v>21</v>
      </c>
    </row>
    <row r="26" spans="1:9" x14ac:dyDescent="0.25">
      <c r="A26" s="1">
        <v>44836</v>
      </c>
      <c r="B26">
        <v>2022</v>
      </c>
      <c r="C26" t="s">
        <v>7</v>
      </c>
      <c r="D26" t="s">
        <v>10</v>
      </c>
      <c r="E26">
        <v>27411</v>
      </c>
      <c r="F26" s="2">
        <v>959385</v>
      </c>
      <c r="G26" s="2">
        <v>438576</v>
      </c>
      <c r="H26" s="2">
        <f t="shared" si="0"/>
        <v>520809</v>
      </c>
      <c r="I26" s="2">
        <f t="shared" si="1"/>
        <v>35</v>
      </c>
    </row>
    <row r="27" spans="1:9" x14ac:dyDescent="0.25">
      <c r="A27" s="1">
        <v>44313</v>
      </c>
      <c r="B27">
        <v>2021</v>
      </c>
      <c r="C27" t="s">
        <v>16</v>
      </c>
      <c r="D27" t="s">
        <v>8</v>
      </c>
      <c r="E27">
        <v>10349</v>
      </c>
      <c r="F27" s="2">
        <v>217329</v>
      </c>
      <c r="G27" s="2">
        <v>279423</v>
      </c>
      <c r="H27" s="2">
        <f t="shared" si="0"/>
        <v>-62094</v>
      </c>
      <c r="I27" s="2">
        <f t="shared" si="1"/>
        <v>21</v>
      </c>
    </row>
    <row r="28" spans="1:9" x14ac:dyDescent="0.25">
      <c r="A28" s="1">
        <v>45494</v>
      </c>
      <c r="B28">
        <v>2024</v>
      </c>
      <c r="C28" t="s">
        <v>11</v>
      </c>
      <c r="D28" t="s">
        <v>10</v>
      </c>
      <c r="E28">
        <v>24743</v>
      </c>
      <c r="F28" s="2">
        <v>668061</v>
      </c>
      <c r="G28" s="2">
        <v>420631</v>
      </c>
      <c r="H28" s="2">
        <f t="shared" si="0"/>
        <v>247430</v>
      </c>
      <c r="I28" s="2">
        <f t="shared" si="1"/>
        <v>27</v>
      </c>
    </row>
    <row r="29" spans="1:9" x14ac:dyDescent="0.25">
      <c r="A29" s="1">
        <v>45454</v>
      </c>
      <c r="B29">
        <v>2024</v>
      </c>
      <c r="C29" t="s">
        <v>16</v>
      </c>
      <c r="D29" t="s">
        <v>14</v>
      </c>
      <c r="E29">
        <v>26796</v>
      </c>
      <c r="F29" s="2">
        <v>857472</v>
      </c>
      <c r="G29" s="2">
        <v>750288</v>
      </c>
      <c r="H29" s="2">
        <f t="shared" si="0"/>
        <v>107184</v>
      </c>
      <c r="I29" s="2">
        <f t="shared" si="1"/>
        <v>32</v>
      </c>
    </row>
    <row r="30" spans="1:9" x14ac:dyDescent="0.25">
      <c r="A30" s="1">
        <v>44899</v>
      </c>
      <c r="B30">
        <v>2022</v>
      </c>
      <c r="C30" t="s">
        <v>11</v>
      </c>
      <c r="D30" t="s">
        <v>13</v>
      </c>
      <c r="E30">
        <v>19840</v>
      </c>
      <c r="F30" s="2">
        <v>833280</v>
      </c>
      <c r="G30" s="2">
        <v>535680</v>
      </c>
      <c r="H30" s="2">
        <f t="shared" si="0"/>
        <v>297600</v>
      </c>
      <c r="I30" s="2">
        <f t="shared" si="1"/>
        <v>42</v>
      </c>
    </row>
    <row r="31" spans="1:9" x14ac:dyDescent="0.25">
      <c r="A31" s="1">
        <v>44534</v>
      </c>
      <c r="B31">
        <v>2021</v>
      </c>
      <c r="C31" t="s">
        <v>16</v>
      </c>
      <c r="D31" t="s">
        <v>12</v>
      </c>
      <c r="E31">
        <v>10117</v>
      </c>
      <c r="F31" s="2">
        <v>283276</v>
      </c>
      <c r="G31" s="2">
        <v>283276</v>
      </c>
      <c r="H31" s="2">
        <f t="shared" si="0"/>
        <v>0</v>
      </c>
      <c r="I31" s="2">
        <f t="shared" si="1"/>
        <v>28</v>
      </c>
    </row>
    <row r="32" spans="1:9" x14ac:dyDescent="0.25">
      <c r="A32" s="1">
        <v>45641</v>
      </c>
      <c r="B32">
        <v>2024</v>
      </c>
      <c r="C32" t="s">
        <v>11</v>
      </c>
      <c r="D32" t="s">
        <v>12</v>
      </c>
      <c r="E32">
        <v>21736</v>
      </c>
      <c r="F32" s="2">
        <v>478192</v>
      </c>
      <c r="G32" s="2">
        <v>260832</v>
      </c>
      <c r="H32" s="2">
        <f t="shared" si="0"/>
        <v>217360</v>
      </c>
      <c r="I32" s="2">
        <f t="shared" si="1"/>
        <v>22</v>
      </c>
    </row>
    <row r="33" spans="1:9" x14ac:dyDescent="0.25">
      <c r="A33" s="1">
        <v>45916</v>
      </c>
      <c r="B33">
        <v>2025</v>
      </c>
      <c r="C33" t="s">
        <v>9</v>
      </c>
      <c r="D33" t="s">
        <v>12</v>
      </c>
      <c r="E33">
        <v>19870</v>
      </c>
      <c r="F33" s="2">
        <v>695450</v>
      </c>
      <c r="G33" s="2">
        <v>417270</v>
      </c>
      <c r="H33" s="2">
        <f t="shared" si="0"/>
        <v>278180</v>
      </c>
      <c r="I33" s="2">
        <f t="shared" si="1"/>
        <v>35</v>
      </c>
    </row>
    <row r="34" spans="1:9" x14ac:dyDescent="0.25">
      <c r="A34" s="1">
        <v>45979</v>
      </c>
      <c r="B34">
        <v>2025</v>
      </c>
      <c r="C34" t="s">
        <v>7</v>
      </c>
      <c r="D34" t="s">
        <v>12</v>
      </c>
      <c r="E34">
        <v>8675</v>
      </c>
      <c r="F34" s="2">
        <v>268925</v>
      </c>
      <c r="G34" s="2">
        <v>234225</v>
      </c>
      <c r="H34" s="2">
        <f t="shared" si="0"/>
        <v>34700</v>
      </c>
      <c r="I34" s="2">
        <f t="shared" si="1"/>
        <v>31</v>
      </c>
    </row>
    <row r="35" spans="1:9" x14ac:dyDescent="0.25">
      <c r="A35" s="1">
        <v>45065</v>
      </c>
      <c r="B35">
        <v>2023</v>
      </c>
      <c r="C35" t="s">
        <v>17</v>
      </c>
      <c r="D35" t="s">
        <v>8</v>
      </c>
      <c r="E35">
        <v>22476</v>
      </c>
      <c r="F35" s="2">
        <v>899040</v>
      </c>
      <c r="G35" s="2">
        <v>606852</v>
      </c>
      <c r="H35" s="2">
        <f t="shared" si="0"/>
        <v>292188</v>
      </c>
      <c r="I35" s="2">
        <f t="shared" si="1"/>
        <v>40</v>
      </c>
    </row>
    <row r="36" spans="1:9" x14ac:dyDescent="0.25">
      <c r="A36" s="1">
        <v>45577</v>
      </c>
      <c r="B36">
        <v>2024</v>
      </c>
      <c r="C36" t="s">
        <v>11</v>
      </c>
      <c r="D36" t="s">
        <v>8</v>
      </c>
      <c r="E36">
        <v>11791</v>
      </c>
      <c r="F36" s="2">
        <v>424476</v>
      </c>
      <c r="G36" s="2">
        <v>318357</v>
      </c>
      <c r="H36" s="2">
        <f t="shared" si="0"/>
        <v>106119</v>
      </c>
      <c r="I36" s="2">
        <f t="shared" si="1"/>
        <v>36</v>
      </c>
    </row>
    <row r="37" spans="1:9" x14ac:dyDescent="0.25">
      <c r="A37" s="1">
        <v>44816</v>
      </c>
      <c r="B37">
        <v>2022</v>
      </c>
      <c r="C37" t="s">
        <v>17</v>
      </c>
      <c r="D37" t="s">
        <v>12</v>
      </c>
      <c r="E37">
        <v>19886</v>
      </c>
      <c r="F37" s="2">
        <v>775554</v>
      </c>
      <c r="G37" s="2">
        <v>517036</v>
      </c>
      <c r="H37" s="2">
        <f t="shared" si="0"/>
        <v>258518</v>
      </c>
      <c r="I37" s="2">
        <f t="shared" si="1"/>
        <v>39</v>
      </c>
    </row>
    <row r="38" spans="1:9" x14ac:dyDescent="0.25">
      <c r="A38" s="1">
        <v>44911</v>
      </c>
      <c r="B38">
        <v>2022</v>
      </c>
      <c r="C38" t="s">
        <v>17</v>
      </c>
      <c r="D38" t="s">
        <v>12</v>
      </c>
      <c r="E38">
        <v>19074</v>
      </c>
      <c r="F38" s="2">
        <v>553146</v>
      </c>
      <c r="G38" s="2">
        <v>514998</v>
      </c>
      <c r="H38" s="2">
        <f t="shared" si="0"/>
        <v>38148</v>
      </c>
      <c r="I38" s="2">
        <f t="shared" si="1"/>
        <v>29</v>
      </c>
    </row>
    <row r="39" spans="1:9" x14ac:dyDescent="0.25">
      <c r="A39" s="1">
        <v>45464</v>
      </c>
      <c r="B39">
        <v>2024</v>
      </c>
      <c r="C39" t="s">
        <v>15</v>
      </c>
      <c r="D39" t="s">
        <v>13</v>
      </c>
      <c r="E39">
        <v>16765</v>
      </c>
      <c r="F39" s="2">
        <v>486185</v>
      </c>
      <c r="G39" s="2">
        <v>217945</v>
      </c>
      <c r="H39" s="2">
        <f t="shared" si="0"/>
        <v>268240</v>
      </c>
      <c r="I39" s="2">
        <f t="shared" si="1"/>
        <v>29</v>
      </c>
    </row>
    <row r="40" spans="1:9" x14ac:dyDescent="0.25">
      <c r="A40" s="1">
        <v>45388</v>
      </c>
      <c r="B40">
        <v>2024</v>
      </c>
      <c r="C40" t="s">
        <v>15</v>
      </c>
      <c r="D40" t="s">
        <v>14</v>
      </c>
      <c r="E40">
        <v>12537</v>
      </c>
      <c r="F40" s="2">
        <v>539091</v>
      </c>
      <c r="G40" s="2">
        <v>238203</v>
      </c>
      <c r="H40" s="2">
        <f t="shared" si="0"/>
        <v>300888</v>
      </c>
      <c r="I40" s="2">
        <f t="shared" si="1"/>
        <v>43</v>
      </c>
    </row>
    <row r="41" spans="1:9" x14ac:dyDescent="0.25">
      <c r="A41" s="1">
        <v>45641</v>
      </c>
      <c r="B41">
        <v>2024</v>
      </c>
      <c r="C41" t="s">
        <v>15</v>
      </c>
      <c r="D41" t="s">
        <v>8</v>
      </c>
      <c r="E41">
        <v>12276</v>
      </c>
      <c r="F41" s="2">
        <v>306900</v>
      </c>
      <c r="G41" s="2">
        <v>147312</v>
      </c>
      <c r="H41" s="2">
        <f t="shared" si="0"/>
        <v>159588</v>
      </c>
      <c r="I41" s="2">
        <f t="shared" si="1"/>
        <v>25</v>
      </c>
    </row>
    <row r="42" spans="1:9" x14ac:dyDescent="0.25">
      <c r="A42" s="1">
        <v>45908</v>
      </c>
      <c r="B42">
        <v>2025</v>
      </c>
      <c r="C42" t="s">
        <v>9</v>
      </c>
      <c r="D42" t="s">
        <v>12</v>
      </c>
      <c r="E42">
        <v>19384</v>
      </c>
      <c r="F42" s="2">
        <v>833512</v>
      </c>
      <c r="G42" s="2">
        <v>445832</v>
      </c>
      <c r="H42" s="2">
        <f t="shared" si="0"/>
        <v>387680</v>
      </c>
      <c r="I42" s="2">
        <f t="shared" si="1"/>
        <v>43</v>
      </c>
    </row>
    <row r="43" spans="1:9" x14ac:dyDescent="0.25">
      <c r="A43" s="1">
        <v>44731</v>
      </c>
      <c r="B43">
        <v>2022</v>
      </c>
      <c r="C43" t="s">
        <v>17</v>
      </c>
      <c r="D43" t="s">
        <v>14</v>
      </c>
      <c r="E43">
        <v>28213</v>
      </c>
      <c r="F43" s="2">
        <v>564260</v>
      </c>
      <c r="G43" s="2">
        <v>366769</v>
      </c>
      <c r="H43" s="2">
        <f t="shared" si="0"/>
        <v>197491</v>
      </c>
      <c r="I43" s="2">
        <f t="shared" si="1"/>
        <v>20</v>
      </c>
    </row>
    <row r="44" spans="1:9" x14ac:dyDescent="0.25">
      <c r="A44" s="1">
        <v>45147</v>
      </c>
      <c r="B44">
        <v>2023</v>
      </c>
      <c r="C44" t="s">
        <v>17</v>
      </c>
      <c r="D44" t="s">
        <v>14</v>
      </c>
      <c r="E44">
        <v>25624</v>
      </c>
      <c r="F44" s="2">
        <v>1101832</v>
      </c>
      <c r="G44" s="2">
        <v>486856</v>
      </c>
      <c r="H44" s="2">
        <f t="shared" si="0"/>
        <v>614976</v>
      </c>
      <c r="I44" s="2">
        <f t="shared" si="1"/>
        <v>43</v>
      </c>
    </row>
    <row r="45" spans="1:9" x14ac:dyDescent="0.25">
      <c r="A45" s="1">
        <v>44536</v>
      </c>
      <c r="B45">
        <v>2021</v>
      </c>
      <c r="C45" t="s">
        <v>17</v>
      </c>
      <c r="D45" t="s">
        <v>12</v>
      </c>
      <c r="E45">
        <v>12403</v>
      </c>
      <c r="F45" s="2">
        <v>421702</v>
      </c>
      <c r="G45" s="2">
        <v>235657</v>
      </c>
      <c r="H45" s="2">
        <f t="shared" si="0"/>
        <v>186045</v>
      </c>
      <c r="I45" s="2">
        <f t="shared" si="1"/>
        <v>34</v>
      </c>
    </row>
    <row r="46" spans="1:9" x14ac:dyDescent="0.25">
      <c r="A46" s="1">
        <v>45644</v>
      </c>
      <c r="B46">
        <v>2024</v>
      </c>
      <c r="C46" t="s">
        <v>11</v>
      </c>
      <c r="D46" t="s">
        <v>14</v>
      </c>
      <c r="E46">
        <v>7774</v>
      </c>
      <c r="F46" s="2">
        <v>303186</v>
      </c>
      <c r="G46" s="2">
        <v>178802</v>
      </c>
      <c r="H46" s="2">
        <f t="shared" si="0"/>
        <v>124384</v>
      </c>
      <c r="I46" s="2">
        <f t="shared" si="1"/>
        <v>39</v>
      </c>
    </row>
    <row r="47" spans="1:9" x14ac:dyDescent="0.25">
      <c r="A47" s="1">
        <v>45896</v>
      </c>
      <c r="B47">
        <v>2025</v>
      </c>
      <c r="C47" t="s">
        <v>17</v>
      </c>
      <c r="D47" t="s">
        <v>14</v>
      </c>
      <c r="E47">
        <v>24138</v>
      </c>
      <c r="F47" s="2">
        <v>917244</v>
      </c>
      <c r="G47" s="2">
        <v>651726</v>
      </c>
      <c r="H47" s="2">
        <f t="shared" si="0"/>
        <v>265518</v>
      </c>
      <c r="I47" s="2">
        <f t="shared" si="1"/>
        <v>38</v>
      </c>
    </row>
    <row r="48" spans="1:9" x14ac:dyDescent="0.25">
      <c r="A48" s="1">
        <v>45874</v>
      </c>
      <c r="B48">
        <v>2025</v>
      </c>
      <c r="C48" t="s">
        <v>16</v>
      </c>
      <c r="D48" t="s">
        <v>8</v>
      </c>
      <c r="E48">
        <v>12300</v>
      </c>
      <c r="F48" s="2">
        <v>258300</v>
      </c>
      <c r="G48" s="2">
        <v>221400</v>
      </c>
      <c r="H48" s="2">
        <f t="shared" si="0"/>
        <v>36900</v>
      </c>
      <c r="I48" s="2">
        <f t="shared" si="1"/>
        <v>21</v>
      </c>
    </row>
    <row r="49" spans="1:9" x14ac:dyDescent="0.25">
      <c r="A49" s="1">
        <v>44767</v>
      </c>
      <c r="B49">
        <v>2022</v>
      </c>
      <c r="C49" t="s">
        <v>16</v>
      </c>
      <c r="D49" t="s">
        <v>14</v>
      </c>
      <c r="E49">
        <v>16287</v>
      </c>
      <c r="F49" s="2">
        <v>325740</v>
      </c>
      <c r="G49" s="2">
        <v>260592</v>
      </c>
      <c r="H49" s="2">
        <f t="shared" si="0"/>
        <v>65148</v>
      </c>
      <c r="I49" s="2">
        <f t="shared" si="1"/>
        <v>20</v>
      </c>
    </row>
    <row r="50" spans="1:9" x14ac:dyDescent="0.25">
      <c r="A50" s="1">
        <v>44866</v>
      </c>
      <c r="B50">
        <v>2022</v>
      </c>
      <c r="C50" t="s">
        <v>7</v>
      </c>
      <c r="D50" t="s">
        <v>12</v>
      </c>
      <c r="E50">
        <v>20953</v>
      </c>
      <c r="F50" s="2">
        <v>754308</v>
      </c>
      <c r="G50" s="2">
        <v>377154</v>
      </c>
      <c r="H50" s="2">
        <f t="shared" si="0"/>
        <v>377154</v>
      </c>
      <c r="I50" s="2">
        <f t="shared" si="1"/>
        <v>36</v>
      </c>
    </row>
    <row r="51" spans="1:9" x14ac:dyDescent="0.25">
      <c r="A51" s="1">
        <v>44606</v>
      </c>
      <c r="B51">
        <v>2022</v>
      </c>
      <c r="C51" t="s">
        <v>17</v>
      </c>
      <c r="D51" t="s">
        <v>14</v>
      </c>
      <c r="E51">
        <v>14492</v>
      </c>
      <c r="F51" s="2">
        <v>449252</v>
      </c>
      <c r="G51" s="2">
        <v>347808</v>
      </c>
      <c r="H51" s="2">
        <f t="shared" si="0"/>
        <v>101444</v>
      </c>
      <c r="I51" s="2">
        <f t="shared" si="1"/>
        <v>31</v>
      </c>
    </row>
    <row r="52" spans="1:9" x14ac:dyDescent="0.25">
      <c r="A52" s="1">
        <v>44892</v>
      </c>
      <c r="B52">
        <v>2022</v>
      </c>
      <c r="C52" t="s">
        <v>17</v>
      </c>
      <c r="D52" t="s">
        <v>13</v>
      </c>
      <c r="E52">
        <v>29366</v>
      </c>
      <c r="F52" s="2">
        <v>1057176</v>
      </c>
      <c r="G52" s="2">
        <v>675418</v>
      </c>
      <c r="H52" s="2">
        <f t="shared" si="0"/>
        <v>381758</v>
      </c>
      <c r="I52" s="2">
        <f t="shared" si="1"/>
        <v>36</v>
      </c>
    </row>
    <row r="53" spans="1:9" x14ac:dyDescent="0.25">
      <c r="A53" s="1">
        <v>44256</v>
      </c>
      <c r="B53">
        <v>2021</v>
      </c>
      <c r="C53" t="s">
        <v>11</v>
      </c>
      <c r="D53" t="s">
        <v>14</v>
      </c>
      <c r="E53">
        <v>16725</v>
      </c>
      <c r="F53" s="2">
        <v>434850</v>
      </c>
      <c r="G53" s="2">
        <v>267600</v>
      </c>
      <c r="H53" s="2">
        <f t="shared" si="0"/>
        <v>167250</v>
      </c>
      <c r="I53" s="2">
        <f t="shared" si="1"/>
        <v>26</v>
      </c>
    </row>
    <row r="54" spans="1:9" x14ac:dyDescent="0.25">
      <c r="A54" s="1">
        <v>44502</v>
      </c>
      <c r="B54">
        <v>2021</v>
      </c>
      <c r="C54" t="s">
        <v>9</v>
      </c>
      <c r="D54" t="s">
        <v>13</v>
      </c>
      <c r="E54">
        <v>9537</v>
      </c>
      <c r="F54" s="2">
        <v>400554</v>
      </c>
      <c r="G54" s="2">
        <v>209814</v>
      </c>
      <c r="H54" s="2">
        <f t="shared" si="0"/>
        <v>190740</v>
      </c>
      <c r="I54" s="2">
        <f t="shared" si="1"/>
        <v>42</v>
      </c>
    </row>
    <row r="55" spans="1:9" x14ac:dyDescent="0.25">
      <c r="A55" s="1">
        <v>45216</v>
      </c>
      <c r="B55">
        <v>2023</v>
      </c>
      <c r="C55" t="s">
        <v>17</v>
      </c>
      <c r="D55" t="s">
        <v>13</v>
      </c>
      <c r="E55">
        <v>11239</v>
      </c>
      <c r="F55" s="2">
        <v>449560</v>
      </c>
      <c r="G55" s="2">
        <v>280975</v>
      </c>
      <c r="H55" s="2">
        <f t="shared" si="0"/>
        <v>168585</v>
      </c>
      <c r="I55" s="2">
        <f t="shared" si="1"/>
        <v>40</v>
      </c>
    </row>
    <row r="56" spans="1:9" x14ac:dyDescent="0.25">
      <c r="A56" s="1">
        <v>44754</v>
      </c>
      <c r="B56">
        <v>2022</v>
      </c>
      <c r="C56" t="s">
        <v>16</v>
      </c>
      <c r="D56" t="s">
        <v>14</v>
      </c>
      <c r="E56">
        <v>16022</v>
      </c>
      <c r="F56" s="2">
        <v>704968</v>
      </c>
      <c r="G56" s="2">
        <v>240330</v>
      </c>
      <c r="H56" s="2">
        <f t="shared" si="0"/>
        <v>464638</v>
      </c>
      <c r="I56" s="2">
        <f t="shared" si="1"/>
        <v>44</v>
      </c>
    </row>
    <row r="57" spans="1:9" x14ac:dyDescent="0.25">
      <c r="A57" s="1">
        <v>45511</v>
      </c>
      <c r="B57">
        <v>2024</v>
      </c>
      <c r="C57" t="s">
        <v>16</v>
      </c>
      <c r="D57" t="s">
        <v>10</v>
      </c>
      <c r="E57">
        <v>23140</v>
      </c>
      <c r="F57" s="2">
        <v>532220</v>
      </c>
      <c r="G57" s="2">
        <v>485940</v>
      </c>
      <c r="H57" s="2">
        <f t="shared" si="0"/>
        <v>46280</v>
      </c>
      <c r="I57" s="2">
        <f t="shared" si="1"/>
        <v>23</v>
      </c>
    </row>
    <row r="58" spans="1:9" x14ac:dyDescent="0.25">
      <c r="A58" s="1">
        <v>44640</v>
      </c>
      <c r="B58">
        <v>2022</v>
      </c>
      <c r="C58" t="s">
        <v>17</v>
      </c>
      <c r="D58" t="s">
        <v>12</v>
      </c>
      <c r="E58">
        <v>24585</v>
      </c>
      <c r="F58" s="2">
        <v>1032570</v>
      </c>
      <c r="G58" s="2">
        <v>565455</v>
      </c>
      <c r="H58" s="2">
        <f t="shared" si="0"/>
        <v>467115</v>
      </c>
      <c r="I58" s="2">
        <f t="shared" si="1"/>
        <v>42</v>
      </c>
    </row>
    <row r="59" spans="1:9" x14ac:dyDescent="0.25">
      <c r="A59" s="1">
        <v>44937</v>
      </c>
      <c r="B59">
        <v>2023</v>
      </c>
      <c r="C59" t="s">
        <v>15</v>
      </c>
      <c r="D59" t="s">
        <v>10</v>
      </c>
      <c r="E59">
        <v>5392</v>
      </c>
      <c r="F59" s="2">
        <v>145584</v>
      </c>
      <c r="G59" s="2">
        <v>86272</v>
      </c>
      <c r="H59" s="2">
        <f t="shared" si="0"/>
        <v>59312</v>
      </c>
      <c r="I59" s="2">
        <f t="shared" si="1"/>
        <v>27</v>
      </c>
    </row>
    <row r="60" spans="1:9" x14ac:dyDescent="0.25">
      <c r="A60" s="1">
        <v>44783</v>
      </c>
      <c r="B60">
        <v>2022</v>
      </c>
      <c r="C60" t="s">
        <v>16</v>
      </c>
      <c r="D60" t="s">
        <v>12</v>
      </c>
      <c r="E60">
        <v>9805</v>
      </c>
      <c r="F60" s="2">
        <v>274540</v>
      </c>
      <c r="G60" s="2">
        <v>166685</v>
      </c>
      <c r="H60" s="2">
        <f t="shared" si="0"/>
        <v>107855</v>
      </c>
      <c r="I60" s="2">
        <f t="shared" si="1"/>
        <v>28</v>
      </c>
    </row>
    <row r="61" spans="1:9" x14ac:dyDescent="0.25">
      <c r="A61" s="1">
        <v>44552</v>
      </c>
      <c r="B61">
        <v>2021</v>
      </c>
      <c r="C61" t="s">
        <v>17</v>
      </c>
      <c r="D61" t="s">
        <v>13</v>
      </c>
      <c r="E61">
        <v>14494</v>
      </c>
      <c r="F61" s="2">
        <v>362350</v>
      </c>
      <c r="G61" s="2">
        <v>202916</v>
      </c>
      <c r="H61" s="2">
        <f t="shared" si="0"/>
        <v>159434</v>
      </c>
      <c r="I61" s="2">
        <f t="shared" si="1"/>
        <v>25</v>
      </c>
    </row>
    <row r="62" spans="1:9" x14ac:dyDescent="0.25">
      <c r="A62" s="1">
        <v>45201</v>
      </c>
      <c r="B62">
        <v>2023</v>
      </c>
      <c r="C62" t="s">
        <v>9</v>
      </c>
      <c r="D62" t="s">
        <v>14</v>
      </c>
      <c r="E62">
        <v>12729</v>
      </c>
      <c r="F62" s="2">
        <v>356412</v>
      </c>
      <c r="G62" s="2">
        <v>203664</v>
      </c>
      <c r="H62" s="2">
        <f t="shared" si="0"/>
        <v>152748</v>
      </c>
      <c r="I62" s="2">
        <f t="shared" si="1"/>
        <v>28</v>
      </c>
    </row>
    <row r="63" spans="1:9" x14ac:dyDescent="0.25">
      <c r="A63" s="1">
        <v>45735</v>
      </c>
      <c r="B63">
        <v>2025</v>
      </c>
      <c r="C63" t="s">
        <v>17</v>
      </c>
      <c r="D63" t="s">
        <v>14</v>
      </c>
      <c r="E63">
        <v>9758</v>
      </c>
      <c r="F63" s="2">
        <v>214676</v>
      </c>
      <c r="G63" s="2">
        <v>234192</v>
      </c>
      <c r="H63" s="2">
        <f t="shared" si="0"/>
        <v>-19516</v>
      </c>
      <c r="I63" s="2">
        <f t="shared" si="1"/>
        <v>22</v>
      </c>
    </row>
    <row r="64" spans="1:9" x14ac:dyDescent="0.25">
      <c r="A64" s="1">
        <v>45172</v>
      </c>
      <c r="B64">
        <v>2023</v>
      </c>
      <c r="C64" t="s">
        <v>15</v>
      </c>
      <c r="D64" t="s">
        <v>10</v>
      </c>
      <c r="E64">
        <v>27438</v>
      </c>
      <c r="F64" s="2">
        <v>1097520</v>
      </c>
      <c r="G64" s="2">
        <v>521322</v>
      </c>
      <c r="H64" s="2">
        <f t="shared" si="0"/>
        <v>576198</v>
      </c>
      <c r="I64" s="2">
        <f t="shared" si="1"/>
        <v>40</v>
      </c>
    </row>
    <row r="65" spans="1:9" x14ac:dyDescent="0.25">
      <c r="A65" s="1">
        <v>44444</v>
      </c>
      <c r="B65">
        <v>2021</v>
      </c>
      <c r="C65" t="s">
        <v>9</v>
      </c>
      <c r="D65" t="s">
        <v>10</v>
      </c>
      <c r="E65">
        <v>10743</v>
      </c>
      <c r="F65" s="2">
        <v>451206</v>
      </c>
      <c r="G65" s="2">
        <v>257832</v>
      </c>
      <c r="H65" s="2">
        <f t="shared" si="0"/>
        <v>193374</v>
      </c>
      <c r="I65" s="2">
        <f t="shared" si="1"/>
        <v>42</v>
      </c>
    </row>
    <row r="66" spans="1:9" x14ac:dyDescent="0.25">
      <c r="A66" s="1">
        <v>45031</v>
      </c>
      <c r="B66">
        <v>2023</v>
      </c>
      <c r="C66" t="s">
        <v>17</v>
      </c>
      <c r="D66" t="s">
        <v>12</v>
      </c>
      <c r="E66">
        <v>19443</v>
      </c>
      <c r="F66" s="2">
        <v>602733</v>
      </c>
      <c r="G66" s="2">
        <v>291645</v>
      </c>
      <c r="H66" s="2">
        <f t="shared" si="0"/>
        <v>311088</v>
      </c>
      <c r="I66" s="2">
        <f t="shared" si="1"/>
        <v>31</v>
      </c>
    </row>
    <row r="67" spans="1:9" x14ac:dyDescent="0.25">
      <c r="A67" s="1">
        <v>45047</v>
      </c>
      <c r="B67">
        <v>2023</v>
      </c>
      <c r="C67" t="s">
        <v>11</v>
      </c>
      <c r="D67" t="s">
        <v>12</v>
      </c>
      <c r="E67">
        <v>20864</v>
      </c>
      <c r="F67" s="2">
        <v>563328</v>
      </c>
      <c r="G67" s="2">
        <v>438144</v>
      </c>
      <c r="H67" s="2">
        <f t="shared" ref="H67:H130" si="2">F67-G67</f>
        <v>125184</v>
      </c>
      <c r="I67" s="2">
        <f t="shared" ref="I67:I130" si="3">F67/E67</f>
        <v>27</v>
      </c>
    </row>
    <row r="68" spans="1:9" x14ac:dyDescent="0.25">
      <c r="A68" s="1">
        <v>45842</v>
      </c>
      <c r="B68">
        <v>2025</v>
      </c>
      <c r="C68" t="s">
        <v>17</v>
      </c>
      <c r="D68" t="s">
        <v>13</v>
      </c>
      <c r="E68">
        <v>19940</v>
      </c>
      <c r="F68" s="2">
        <v>897300</v>
      </c>
      <c r="G68" s="2">
        <v>478560</v>
      </c>
      <c r="H68" s="2">
        <f t="shared" si="2"/>
        <v>418740</v>
      </c>
      <c r="I68" s="2">
        <f t="shared" si="3"/>
        <v>45</v>
      </c>
    </row>
    <row r="69" spans="1:9" x14ac:dyDescent="0.25">
      <c r="A69" s="1">
        <v>45272</v>
      </c>
      <c r="B69">
        <v>2023</v>
      </c>
      <c r="C69" t="s">
        <v>17</v>
      </c>
      <c r="D69" t="s">
        <v>13</v>
      </c>
      <c r="E69">
        <v>26712</v>
      </c>
      <c r="F69" s="2">
        <v>774648</v>
      </c>
      <c r="G69" s="2">
        <v>587664</v>
      </c>
      <c r="H69" s="2">
        <f t="shared" si="2"/>
        <v>186984</v>
      </c>
      <c r="I69" s="2">
        <f t="shared" si="3"/>
        <v>29</v>
      </c>
    </row>
    <row r="70" spans="1:9" x14ac:dyDescent="0.25">
      <c r="A70" s="1">
        <v>45386</v>
      </c>
      <c r="B70">
        <v>2024</v>
      </c>
      <c r="C70" t="s">
        <v>17</v>
      </c>
      <c r="D70" t="s">
        <v>12</v>
      </c>
      <c r="E70">
        <v>19019</v>
      </c>
      <c r="F70" s="2">
        <v>494494</v>
      </c>
      <c r="G70" s="2">
        <v>399399</v>
      </c>
      <c r="H70" s="2">
        <f t="shared" si="2"/>
        <v>95095</v>
      </c>
      <c r="I70" s="2">
        <f t="shared" si="3"/>
        <v>26</v>
      </c>
    </row>
    <row r="71" spans="1:9" x14ac:dyDescent="0.25">
      <c r="A71" s="1">
        <v>45296</v>
      </c>
      <c r="B71">
        <v>2024</v>
      </c>
      <c r="C71" t="s">
        <v>15</v>
      </c>
      <c r="D71" t="s">
        <v>14</v>
      </c>
      <c r="E71">
        <v>6955</v>
      </c>
      <c r="F71" s="2">
        <v>306020</v>
      </c>
      <c r="G71" s="2">
        <v>180830</v>
      </c>
      <c r="H71" s="2">
        <f t="shared" si="2"/>
        <v>125190</v>
      </c>
      <c r="I71" s="2">
        <f t="shared" si="3"/>
        <v>44</v>
      </c>
    </row>
    <row r="72" spans="1:9" x14ac:dyDescent="0.25">
      <c r="A72" s="1">
        <v>45882</v>
      </c>
      <c r="B72">
        <v>2025</v>
      </c>
      <c r="C72" t="s">
        <v>11</v>
      </c>
      <c r="D72" t="s">
        <v>13</v>
      </c>
      <c r="E72">
        <v>8182</v>
      </c>
      <c r="F72" s="2">
        <v>270006</v>
      </c>
      <c r="G72" s="2">
        <v>163640</v>
      </c>
      <c r="H72" s="2">
        <f t="shared" si="2"/>
        <v>106366</v>
      </c>
      <c r="I72" s="2">
        <f t="shared" si="3"/>
        <v>33</v>
      </c>
    </row>
    <row r="73" spans="1:9" x14ac:dyDescent="0.25">
      <c r="A73" s="1">
        <v>44960</v>
      </c>
      <c r="B73">
        <v>2023</v>
      </c>
      <c r="C73" t="s">
        <v>17</v>
      </c>
      <c r="D73" t="s">
        <v>13</v>
      </c>
      <c r="E73">
        <v>7600</v>
      </c>
      <c r="F73" s="2">
        <v>205200</v>
      </c>
      <c r="G73" s="2">
        <v>144400</v>
      </c>
      <c r="H73" s="2">
        <f t="shared" si="2"/>
        <v>60800</v>
      </c>
      <c r="I73" s="2">
        <f t="shared" si="3"/>
        <v>27</v>
      </c>
    </row>
    <row r="74" spans="1:9" x14ac:dyDescent="0.25">
      <c r="A74" s="1">
        <v>45557</v>
      </c>
      <c r="B74">
        <v>2024</v>
      </c>
      <c r="C74" t="s">
        <v>9</v>
      </c>
      <c r="D74" t="s">
        <v>12</v>
      </c>
      <c r="E74">
        <v>22067</v>
      </c>
      <c r="F74" s="2">
        <v>838546</v>
      </c>
      <c r="G74" s="2">
        <v>485474</v>
      </c>
      <c r="H74" s="2">
        <f t="shared" si="2"/>
        <v>353072</v>
      </c>
      <c r="I74" s="2">
        <f t="shared" si="3"/>
        <v>38</v>
      </c>
    </row>
    <row r="75" spans="1:9" x14ac:dyDescent="0.25">
      <c r="A75" s="1">
        <v>44240</v>
      </c>
      <c r="B75">
        <v>2021</v>
      </c>
      <c r="C75" t="s">
        <v>7</v>
      </c>
      <c r="D75" t="s">
        <v>10</v>
      </c>
      <c r="E75">
        <v>28254</v>
      </c>
      <c r="F75" s="2">
        <v>1243176</v>
      </c>
      <c r="G75" s="2">
        <v>706350</v>
      </c>
      <c r="H75" s="2">
        <f t="shared" si="2"/>
        <v>536826</v>
      </c>
      <c r="I75" s="2">
        <f t="shared" si="3"/>
        <v>44</v>
      </c>
    </row>
    <row r="76" spans="1:9" x14ac:dyDescent="0.25">
      <c r="A76" s="1">
        <v>45917</v>
      </c>
      <c r="B76">
        <v>2025</v>
      </c>
      <c r="C76" t="s">
        <v>16</v>
      </c>
      <c r="D76" t="s">
        <v>14</v>
      </c>
      <c r="E76">
        <v>26824</v>
      </c>
      <c r="F76" s="2">
        <v>1046136</v>
      </c>
      <c r="G76" s="2">
        <v>456008</v>
      </c>
      <c r="H76" s="2">
        <f t="shared" si="2"/>
        <v>590128</v>
      </c>
      <c r="I76" s="2">
        <f t="shared" si="3"/>
        <v>39</v>
      </c>
    </row>
    <row r="77" spans="1:9" x14ac:dyDescent="0.25">
      <c r="A77" s="1">
        <v>45701</v>
      </c>
      <c r="B77">
        <v>2025</v>
      </c>
      <c r="C77" t="s">
        <v>15</v>
      </c>
      <c r="D77" t="s">
        <v>10</v>
      </c>
      <c r="E77">
        <v>9895</v>
      </c>
      <c r="F77" s="2">
        <v>435380</v>
      </c>
      <c r="G77" s="2">
        <v>148425</v>
      </c>
      <c r="H77" s="2">
        <f t="shared" si="2"/>
        <v>286955</v>
      </c>
      <c r="I77" s="2">
        <f t="shared" si="3"/>
        <v>44</v>
      </c>
    </row>
    <row r="78" spans="1:9" x14ac:dyDescent="0.25">
      <c r="A78" s="1">
        <v>45044</v>
      </c>
      <c r="B78">
        <v>2023</v>
      </c>
      <c r="C78" t="s">
        <v>16</v>
      </c>
      <c r="D78" t="s">
        <v>12</v>
      </c>
      <c r="E78">
        <v>10191</v>
      </c>
      <c r="F78" s="2">
        <v>244584</v>
      </c>
      <c r="G78" s="2">
        <v>285348</v>
      </c>
      <c r="H78" s="2">
        <f t="shared" si="2"/>
        <v>-40764</v>
      </c>
      <c r="I78" s="2">
        <f t="shared" si="3"/>
        <v>24</v>
      </c>
    </row>
    <row r="79" spans="1:9" x14ac:dyDescent="0.25">
      <c r="A79" s="1">
        <v>45890</v>
      </c>
      <c r="B79">
        <v>2025</v>
      </c>
      <c r="C79" t="s">
        <v>7</v>
      </c>
      <c r="D79" t="s">
        <v>14</v>
      </c>
      <c r="E79">
        <v>26101</v>
      </c>
      <c r="F79" s="2">
        <v>991838</v>
      </c>
      <c r="G79" s="2">
        <v>600323</v>
      </c>
      <c r="H79" s="2">
        <f t="shared" si="2"/>
        <v>391515</v>
      </c>
      <c r="I79" s="2">
        <f t="shared" si="3"/>
        <v>38</v>
      </c>
    </row>
    <row r="80" spans="1:9" x14ac:dyDescent="0.25">
      <c r="A80" s="1">
        <v>45142</v>
      </c>
      <c r="B80">
        <v>2023</v>
      </c>
      <c r="C80" t="s">
        <v>16</v>
      </c>
      <c r="D80" t="s">
        <v>12</v>
      </c>
      <c r="E80">
        <v>29606</v>
      </c>
      <c r="F80" s="2">
        <v>1154634</v>
      </c>
      <c r="G80" s="2">
        <v>562514</v>
      </c>
      <c r="H80" s="2">
        <f t="shared" si="2"/>
        <v>592120</v>
      </c>
      <c r="I80" s="2">
        <f t="shared" si="3"/>
        <v>39</v>
      </c>
    </row>
    <row r="81" spans="1:9" x14ac:dyDescent="0.25">
      <c r="A81" s="1">
        <v>45043</v>
      </c>
      <c r="B81">
        <v>2023</v>
      </c>
      <c r="C81" t="s">
        <v>11</v>
      </c>
      <c r="D81" t="s">
        <v>13</v>
      </c>
      <c r="E81">
        <v>6845</v>
      </c>
      <c r="F81" s="2">
        <v>280645</v>
      </c>
      <c r="G81" s="2">
        <v>164280</v>
      </c>
      <c r="H81" s="2">
        <f t="shared" si="2"/>
        <v>116365</v>
      </c>
      <c r="I81" s="2">
        <f t="shared" si="3"/>
        <v>41</v>
      </c>
    </row>
    <row r="82" spans="1:9" x14ac:dyDescent="0.25">
      <c r="A82" s="1">
        <v>45937</v>
      </c>
      <c r="B82">
        <v>2025</v>
      </c>
      <c r="C82" t="s">
        <v>17</v>
      </c>
      <c r="D82" t="s">
        <v>14</v>
      </c>
      <c r="E82">
        <v>28807</v>
      </c>
      <c r="F82" s="2">
        <v>576140</v>
      </c>
      <c r="G82" s="2">
        <v>374491</v>
      </c>
      <c r="H82" s="2">
        <f t="shared" si="2"/>
        <v>201649</v>
      </c>
      <c r="I82" s="2">
        <f t="shared" si="3"/>
        <v>20</v>
      </c>
    </row>
    <row r="83" spans="1:9" x14ac:dyDescent="0.25">
      <c r="A83" s="1">
        <v>45685</v>
      </c>
      <c r="B83">
        <v>2025</v>
      </c>
      <c r="C83" t="s">
        <v>9</v>
      </c>
      <c r="D83" t="s">
        <v>13</v>
      </c>
      <c r="E83">
        <v>11885</v>
      </c>
      <c r="F83" s="2">
        <v>511055</v>
      </c>
      <c r="G83" s="2">
        <v>142620</v>
      </c>
      <c r="H83" s="2">
        <f t="shared" si="2"/>
        <v>368435</v>
      </c>
      <c r="I83" s="2">
        <f t="shared" si="3"/>
        <v>43</v>
      </c>
    </row>
    <row r="84" spans="1:9" x14ac:dyDescent="0.25">
      <c r="A84" s="1">
        <v>44721</v>
      </c>
      <c r="B84">
        <v>2022</v>
      </c>
      <c r="C84" t="s">
        <v>11</v>
      </c>
      <c r="D84" t="s">
        <v>13</v>
      </c>
      <c r="E84">
        <v>18327</v>
      </c>
      <c r="F84" s="2">
        <v>714753</v>
      </c>
      <c r="G84" s="2">
        <v>513156</v>
      </c>
      <c r="H84" s="2">
        <f t="shared" si="2"/>
        <v>201597</v>
      </c>
      <c r="I84" s="2">
        <f t="shared" si="3"/>
        <v>39</v>
      </c>
    </row>
    <row r="85" spans="1:9" x14ac:dyDescent="0.25">
      <c r="A85" s="1">
        <v>45122</v>
      </c>
      <c r="B85">
        <v>2023</v>
      </c>
      <c r="C85" t="s">
        <v>9</v>
      </c>
      <c r="D85" t="s">
        <v>14</v>
      </c>
      <c r="E85">
        <v>14417</v>
      </c>
      <c r="F85" s="2">
        <v>648765</v>
      </c>
      <c r="G85" s="2">
        <v>259506</v>
      </c>
      <c r="H85" s="2">
        <f t="shared" si="2"/>
        <v>389259</v>
      </c>
      <c r="I85" s="2">
        <f t="shared" si="3"/>
        <v>45</v>
      </c>
    </row>
    <row r="86" spans="1:9" x14ac:dyDescent="0.25">
      <c r="A86" s="1">
        <v>46003</v>
      </c>
      <c r="B86">
        <v>2025</v>
      </c>
      <c r="C86" t="s">
        <v>11</v>
      </c>
      <c r="D86" t="s">
        <v>12</v>
      </c>
      <c r="E86">
        <v>19320</v>
      </c>
      <c r="F86" s="2">
        <v>792120</v>
      </c>
      <c r="G86" s="2">
        <v>521640</v>
      </c>
      <c r="H86" s="2">
        <f t="shared" si="2"/>
        <v>270480</v>
      </c>
      <c r="I86" s="2">
        <f t="shared" si="3"/>
        <v>41</v>
      </c>
    </row>
    <row r="87" spans="1:9" x14ac:dyDescent="0.25">
      <c r="A87" s="1">
        <v>45462</v>
      </c>
      <c r="B87">
        <v>2024</v>
      </c>
      <c r="C87" t="s">
        <v>7</v>
      </c>
      <c r="D87" t="s">
        <v>13</v>
      </c>
      <c r="E87">
        <v>16155</v>
      </c>
      <c r="F87" s="2">
        <v>662355</v>
      </c>
      <c r="G87" s="2">
        <v>371565</v>
      </c>
      <c r="H87" s="2">
        <f t="shared" si="2"/>
        <v>290790</v>
      </c>
      <c r="I87" s="2">
        <f t="shared" si="3"/>
        <v>41</v>
      </c>
    </row>
    <row r="88" spans="1:9" x14ac:dyDescent="0.25">
      <c r="A88" s="1">
        <v>45946</v>
      </c>
      <c r="B88">
        <v>2025</v>
      </c>
      <c r="C88" t="s">
        <v>15</v>
      </c>
      <c r="D88" t="s">
        <v>12</v>
      </c>
      <c r="E88">
        <v>6322</v>
      </c>
      <c r="F88" s="2">
        <v>145406</v>
      </c>
      <c r="G88" s="2">
        <v>145406</v>
      </c>
      <c r="H88" s="2">
        <f t="shared" si="2"/>
        <v>0</v>
      </c>
      <c r="I88" s="2">
        <f t="shared" si="3"/>
        <v>23</v>
      </c>
    </row>
    <row r="89" spans="1:9" x14ac:dyDescent="0.25">
      <c r="A89" s="1">
        <v>44584</v>
      </c>
      <c r="B89">
        <v>2022</v>
      </c>
      <c r="C89" t="s">
        <v>17</v>
      </c>
      <c r="D89" t="s">
        <v>13</v>
      </c>
      <c r="E89">
        <v>29390</v>
      </c>
      <c r="F89" s="2">
        <v>1087430</v>
      </c>
      <c r="G89" s="2">
        <v>558410</v>
      </c>
      <c r="H89" s="2">
        <f t="shared" si="2"/>
        <v>529020</v>
      </c>
      <c r="I89" s="2">
        <f t="shared" si="3"/>
        <v>37</v>
      </c>
    </row>
    <row r="90" spans="1:9" x14ac:dyDescent="0.25">
      <c r="A90" s="1">
        <v>45287</v>
      </c>
      <c r="B90">
        <v>2023</v>
      </c>
      <c r="C90" t="s">
        <v>15</v>
      </c>
      <c r="D90" t="s">
        <v>8</v>
      </c>
      <c r="E90">
        <v>8366</v>
      </c>
      <c r="F90" s="2">
        <v>284444</v>
      </c>
      <c r="G90" s="2">
        <v>200784</v>
      </c>
      <c r="H90" s="2">
        <f t="shared" si="2"/>
        <v>83660</v>
      </c>
      <c r="I90" s="2">
        <f t="shared" si="3"/>
        <v>34</v>
      </c>
    </row>
    <row r="91" spans="1:9" x14ac:dyDescent="0.25">
      <c r="A91" s="1">
        <v>44892</v>
      </c>
      <c r="B91">
        <v>2022</v>
      </c>
      <c r="C91" t="s">
        <v>7</v>
      </c>
      <c r="D91" t="s">
        <v>12</v>
      </c>
      <c r="E91">
        <v>5373</v>
      </c>
      <c r="F91" s="2">
        <v>112833</v>
      </c>
      <c r="G91" s="2">
        <v>85968</v>
      </c>
      <c r="H91" s="2">
        <f t="shared" si="2"/>
        <v>26865</v>
      </c>
      <c r="I91" s="2">
        <f t="shared" si="3"/>
        <v>21</v>
      </c>
    </row>
    <row r="92" spans="1:9" x14ac:dyDescent="0.25">
      <c r="A92" s="1">
        <v>45500</v>
      </c>
      <c r="B92">
        <v>2024</v>
      </c>
      <c r="C92" t="s">
        <v>11</v>
      </c>
      <c r="D92" t="s">
        <v>14</v>
      </c>
      <c r="E92">
        <v>22203</v>
      </c>
      <c r="F92" s="2">
        <v>954729</v>
      </c>
      <c r="G92" s="2">
        <v>355248</v>
      </c>
      <c r="H92" s="2">
        <f t="shared" si="2"/>
        <v>599481</v>
      </c>
      <c r="I92" s="2">
        <f t="shared" si="3"/>
        <v>43</v>
      </c>
    </row>
    <row r="93" spans="1:9" x14ac:dyDescent="0.25">
      <c r="A93" s="1">
        <v>44995</v>
      </c>
      <c r="B93">
        <v>2023</v>
      </c>
      <c r="C93" t="s">
        <v>15</v>
      </c>
      <c r="D93" t="s">
        <v>14</v>
      </c>
      <c r="E93">
        <v>19786</v>
      </c>
      <c r="F93" s="2">
        <v>534222</v>
      </c>
      <c r="G93" s="2">
        <v>415506</v>
      </c>
      <c r="H93" s="2">
        <f t="shared" si="2"/>
        <v>118716</v>
      </c>
      <c r="I93" s="2">
        <f t="shared" si="3"/>
        <v>27</v>
      </c>
    </row>
    <row r="94" spans="1:9" x14ac:dyDescent="0.25">
      <c r="A94" s="1">
        <v>44830</v>
      </c>
      <c r="B94">
        <v>2022</v>
      </c>
      <c r="C94" t="s">
        <v>16</v>
      </c>
      <c r="D94" t="s">
        <v>12</v>
      </c>
      <c r="E94">
        <v>21374</v>
      </c>
      <c r="F94" s="2">
        <v>619846</v>
      </c>
      <c r="G94" s="2">
        <v>406106</v>
      </c>
      <c r="H94" s="2">
        <f t="shared" si="2"/>
        <v>213740</v>
      </c>
      <c r="I94" s="2">
        <f t="shared" si="3"/>
        <v>29</v>
      </c>
    </row>
    <row r="95" spans="1:9" x14ac:dyDescent="0.25">
      <c r="A95" s="1">
        <v>45560</v>
      </c>
      <c r="B95">
        <v>2024</v>
      </c>
      <c r="C95" t="s">
        <v>7</v>
      </c>
      <c r="D95" t="s">
        <v>10</v>
      </c>
      <c r="E95">
        <v>28539</v>
      </c>
      <c r="F95" s="2">
        <v>656397</v>
      </c>
      <c r="G95" s="2">
        <v>570780</v>
      </c>
      <c r="H95" s="2">
        <f t="shared" si="2"/>
        <v>85617</v>
      </c>
      <c r="I95" s="2">
        <f t="shared" si="3"/>
        <v>23</v>
      </c>
    </row>
    <row r="96" spans="1:9" x14ac:dyDescent="0.25">
      <c r="A96" s="1">
        <v>45119</v>
      </c>
      <c r="B96">
        <v>2023</v>
      </c>
      <c r="C96" t="s">
        <v>9</v>
      </c>
      <c r="D96" t="s">
        <v>10</v>
      </c>
      <c r="E96">
        <v>23434</v>
      </c>
      <c r="F96" s="2">
        <v>937360</v>
      </c>
      <c r="G96" s="2">
        <v>468680</v>
      </c>
      <c r="H96" s="2">
        <f t="shared" si="2"/>
        <v>468680</v>
      </c>
      <c r="I96" s="2">
        <f t="shared" si="3"/>
        <v>40</v>
      </c>
    </row>
    <row r="97" spans="1:9" x14ac:dyDescent="0.25">
      <c r="A97" s="1">
        <v>45886</v>
      </c>
      <c r="B97">
        <v>2025</v>
      </c>
      <c r="C97" t="s">
        <v>9</v>
      </c>
      <c r="D97" t="s">
        <v>8</v>
      </c>
      <c r="E97">
        <v>29266</v>
      </c>
      <c r="F97" s="2">
        <v>1258438</v>
      </c>
      <c r="G97" s="2">
        <v>526788</v>
      </c>
      <c r="H97" s="2">
        <f t="shared" si="2"/>
        <v>731650</v>
      </c>
      <c r="I97" s="2">
        <f t="shared" si="3"/>
        <v>43</v>
      </c>
    </row>
    <row r="98" spans="1:9" x14ac:dyDescent="0.25">
      <c r="A98" s="1">
        <v>45861</v>
      </c>
      <c r="B98">
        <v>2025</v>
      </c>
      <c r="C98" t="s">
        <v>7</v>
      </c>
      <c r="D98" t="s">
        <v>8</v>
      </c>
      <c r="E98">
        <v>14431</v>
      </c>
      <c r="F98" s="2">
        <v>404068</v>
      </c>
      <c r="G98" s="2">
        <v>317482</v>
      </c>
      <c r="H98" s="2">
        <f t="shared" si="2"/>
        <v>86586</v>
      </c>
      <c r="I98" s="2">
        <f t="shared" si="3"/>
        <v>28</v>
      </c>
    </row>
    <row r="99" spans="1:9" x14ac:dyDescent="0.25">
      <c r="A99" s="1">
        <v>45384</v>
      </c>
      <c r="B99">
        <v>2024</v>
      </c>
      <c r="C99" t="s">
        <v>11</v>
      </c>
      <c r="D99" t="s">
        <v>14</v>
      </c>
      <c r="E99">
        <v>14665</v>
      </c>
      <c r="F99" s="2">
        <v>498610</v>
      </c>
      <c r="G99" s="2">
        <v>190645</v>
      </c>
      <c r="H99" s="2">
        <f t="shared" si="2"/>
        <v>307965</v>
      </c>
      <c r="I99" s="2">
        <f t="shared" si="3"/>
        <v>34</v>
      </c>
    </row>
    <row r="100" spans="1:9" x14ac:dyDescent="0.25">
      <c r="A100" s="1">
        <v>45669</v>
      </c>
      <c r="B100">
        <v>2025</v>
      </c>
      <c r="C100" t="s">
        <v>7</v>
      </c>
      <c r="D100" t="s">
        <v>12</v>
      </c>
      <c r="E100">
        <v>9643</v>
      </c>
      <c r="F100" s="2">
        <v>414649</v>
      </c>
      <c r="G100" s="2">
        <v>221789</v>
      </c>
      <c r="H100" s="2">
        <f t="shared" si="2"/>
        <v>192860</v>
      </c>
      <c r="I100" s="2">
        <f t="shared" si="3"/>
        <v>43</v>
      </c>
    </row>
    <row r="101" spans="1:9" x14ac:dyDescent="0.25">
      <c r="A101" s="1">
        <v>44356</v>
      </c>
      <c r="B101">
        <v>2021</v>
      </c>
      <c r="C101" t="s">
        <v>17</v>
      </c>
      <c r="D101" t="s">
        <v>8</v>
      </c>
      <c r="E101">
        <v>11332</v>
      </c>
      <c r="F101" s="2">
        <v>441948</v>
      </c>
      <c r="G101" s="2">
        <v>283300</v>
      </c>
      <c r="H101" s="2">
        <f t="shared" si="2"/>
        <v>158648</v>
      </c>
      <c r="I101" s="2">
        <f t="shared" si="3"/>
        <v>39</v>
      </c>
    </row>
    <row r="102" spans="1:9" x14ac:dyDescent="0.25">
      <c r="A102" s="1">
        <v>45784</v>
      </c>
      <c r="B102">
        <v>2025</v>
      </c>
      <c r="C102" t="s">
        <v>16</v>
      </c>
      <c r="D102" t="s">
        <v>10</v>
      </c>
      <c r="E102">
        <v>28047</v>
      </c>
      <c r="F102" s="2">
        <v>617034</v>
      </c>
      <c r="G102" s="2">
        <v>504846</v>
      </c>
      <c r="H102" s="2">
        <f t="shared" si="2"/>
        <v>112188</v>
      </c>
      <c r="I102" s="2">
        <f t="shared" si="3"/>
        <v>22</v>
      </c>
    </row>
    <row r="103" spans="1:9" x14ac:dyDescent="0.25">
      <c r="A103" s="1">
        <v>45957</v>
      </c>
      <c r="B103">
        <v>2025</v>
      </c>
      <c r="C103" t="s">
        <v>7</v>
      </c>
      <c r="D103" t="s">
        <v>13</v>
      </c>
      <c r="E103">
        <v>18920</v>
      </c>
      <c r="F103" s="2">
        <v>700040</v>
      </c>
      <c r="G103" s="2">
        <v>283800</v>
      </c>
      <c r="H103" s="2">
        <f t="shared" si="2"/>
        <v>416240</v>
      </c>
      <c r="I103" s="2">
        <f t="shared" si="3"/>
        <v>37</v>
      </c>
    </row>
    <row r="104" spans="1:9" x14ac:dyDescent="0.25">
      <c r="A104" s="1">
        <v>44313</v>
      </c>
      <c r="B104">
        <v>2021</v>
      </c>
      <c r="C104" t="s">
        <v>7</v>
      </c>
      <c r="D104" t="s">
        <v>10</v>
      </c>
      <c r="E104">
        <v>22431</v>
      </c>
      <c r="F104" s="2">
        <v>829947</v>
      </c>
      <c r="G104" s="2">
        <v>493482</v>
      </c>
      <c r="H104" s="2">
        <f t="shared" si="2"/>
        <v>336465</v>
      </c>
      <c r="I104" s="2">
        <f t="shared" si="3"/>
        <v>37</v>
      </c>
    </row>
    <row r="105" spans="1:9" x14ac:dyDescent="0.25">
      <c r="A105" s="1">
        <v>44364</v>
      </c>
      <c r="B105">
        <v>2021</v>
      </c>
      <c r="C105" t="s">
        <v>16</v>
      </c>
      <c r="D105" t="s">
        <v>10</v>
      </c>
      <c r="E105">
        <v>12487</v>
      </c>
      <c r="F105" s="2">
        <v>462019</v>
      </c>
      <c r="G105" s="2">
        <v>324662</v>
      </c>
      <c r="H105" s="2">
        <f t="shared" si="2"/>
        <v>137357</v>
      </c>
      <c r="I105" s="2">
        <f t="shared" si="3"/>
        <v>37</v>
      </c>
    </row>
    <row r="106" spans="1:9" x14ac:dyDescent="0.25">
      <c r="A106" s="1">
        <v>45188</v>
      </c>
      <c r="B106">
        <v>2023</v>
      </c>
      <c r="C106" t="s">
        <v>7</v>
      </c>
      <c r="D106" t="s">
        <v>8</v>
      </c>
      <c r="E106">
        <v>5200</v>
      </c>
      <c r="F106" s="2">
        <v>223600</v>
      </c>
      <c r="G106" s="2">
        <v>93600</v>
      </c>
      <c r="H106" s="2">
        <f t="shared" si="2"/>
        <v>130000</v>
      </c>
      <c r="I106" s="2">
        <f t="shared" si="3"/>
        <v>43</v>
      </c>
    </row>
    <row r="107" spans="1:9" x14ac:dyDescent="0.25">
      <c r="A107" s="1">
        <v>44368</v>
      </c>
      <c r="B107">
        <v>2021</v>
      </c>
      <c r="C107" t="s">
        <v>16</v>
      </c>
      <c r="D107" t="s">
        <v>14</v>
      </c>
      <c r="E107">
        <v>25701</v>
      </c>
      <c r="F107" s="2">
        <v>1028040</v>
      </c>
      <c r="G107" s="2">
        <v>385515</v>
      </c>
      <c r="H107" s="2">
        <f t="shared" si="2"/>
        <v>642525</v>
      </c>
      <c r="I107" s="2">
        <f t="shared" si="3"/>
        <v>40</v>
      </c>
    </row>
    <row r="108" spans="1:9" x14ac:dyDescent="0.25">
      <c r="A108" s="1">
        <v>45796</v>
      </c>
      <c r="B108">
        <v>2025</v>
      </c>
      <c r="C108" t="s">
        <v>9</v>
      </c>
      <c r="D108" t="s">
        <v>14</v>
      </c>
      <c r="E108">
        <v>27690</v>
      </c>
      <c r="F108" s="2">
        <v>1190670</v>
      </c>
      <c r="G108" s="2">
        <v>359970</v>
      </c>
      <c r="H108" s="2">
        <f t="shared" si="2"/>
        <v>830700</v>
      </c>
      <c r="I108" s="2">
        <f t="shared" si="3"/>
        <v>43</v>
      </c>
    </row>
    <row r="109" spans="1:9" x14ac:dyDescent="0.25">
      <c r="A109" s="1">
        <v>44487</v>
      </c>
      <c r="B109">
        <v>2021</v>
      </c>
      <c r="C109" t="s">
        <v>7</v>
      </c>
      <c r="D109" t="s">
        <v>10</v>
      </c>
      <c r="E109">
        <v>12389</v>
      </c>
      <c r="F109" s="2">
        <v>309725</v>
      </c>
      <c r="G109" s="2">
        <v>235391</v>
      </c>
      <c r="H109" s="2">
        <f t="shared" si="2"/>
        <v>74334</v>
      </c>
      <c r="I109" s="2">
        <f t="shared" si="3"/>
        <v>25</v>
      </c>
    </row>
    <row r="110" spans="1:9" x14ac:dyDescent="0.25">
      <c r="A110" s="1">
        <v>44952</v>
      </c>
      <c r="B110">
        <v>2023</v>
      </c>
      <c r="C110" t="s">
        <v>11</v>
      </c>
      <c r="D110" t="s">
        <v>12</v>
      </c>
      <c r="E110">
        <v>5861</v>
      </c>
      <c r="F110" s="2">
        <v>158247</v>
      </c>
      <c r="G110" s="2">
        <v>146525</v>
      </c>
      <c r="H110" s="2">
        <f t="shared" si="2"/>
        <v>11722</v>
      </c>
      <c r="I110" s="2">
        <f t="shared" si="3"/>
        <v>27</v>
      </c>
    </row>
    <row r="111" spans="1:9" x14ac:dyDescent="0.25">
      <c r="A111" s="1">
        <v>45937</v>
      </c>
      <c r="B111">
        <v>2025</v>
      </c>
      <c r="C111" t="s">
        <v>15</v>
      </c>
      <c r="D111" t="s">
        <v>12</v>
      </c>
      <c r="E111">
        <v>12495</v>
      </c>
      <c r="F111" s="2">
        <v>249900</v>
      </c>
      <c r="G111" s="2">
        <v>174930</v>
      </c>
      <c r="H111" s="2">
        <f t="shared" si="2"/>
        <v>74970</v>
      </c>
      <c r="I111" s="2">
        <f t="shared" si="3"/>
        <v>20</v>
      </c>
    </row>
    <row r="112" spans="1:9" x14ac:dyDescent="0.25">
      <c r="A112" s="1">
        <v>46001</v>
      </c>
      <c r="B112">
        <v>2025</v>
      </c>
      <c r="C112" t="s">
        <v>11</v>
      </c>
      <c r="D112" t="s">
        <v>8</v>
      </c>
      <c r="E112">
        <v>25039</v>
      </c>
      <c r="F112" s="2">
        <v>701092</v>
      </c>
      <c r="G112" s="2">
        <v>475741</v>
      </c>
      <c r="H112" s="2">
        <f t="shared" si="2"/>
        <v>225351</v>
      </c>
      <c r="I112" s="2">
        <f t="shared" si="3"/>
        <v>28</v>
      </c>
    </row>
    <row r="113" spans="1:9" x14ac:dyDescent="0.25">
      <c r="A113" s="1">
        <v>45359</v>
      </c>
      <c r="B113">
        <v>2024</v>
      </c>
      <c r="C113" t="s">
        <v>15</v>
      </c>
      <c r="D113" t="s">
        <v>8</v>
      </c>
      <c r="E113">
        <v>8827</v>
      </c>
      <c r="F113" s="2">
        <v>379561</v>
      </c>
      <c r="G113" s="2">
        <v>150059</v>
      </c>
      <c r="H113" s="2">
        <f t="shared" si="2"/>
        <v>229502</v>
      </c>
      <c r="I113" s="2">
        <f t="shared" si="3"/>
        <v>43</v>
      </c>
    </row>
    <row r="114" spans="1:9" x14ac:dyDescent="0.25">
      <c r="A114" s="1">
        <v>44817</v>
      </c>
      <c r="B114">
        <v>2022</v>
      </c>
      <c r="C114" t="s">
        <v>11</v>
      </c>
      <c r="D114" t="s">
        <v>12</v>
      </c>
      <c r="E114">
        <v>10625</v>
      </c>
      <c r="F114" s="2">
        <v>361250</v>
      </c>
      <c r="G114" s="2">
        <v>191250</v>
      </c>
      <c r="H114" s="2">
        <f t="shared" si="2"/>
        <v>170000</v>
      </c>
      <c r="I114" s="2">
        <f t="shared" si="3"/>
        <v>34</v>
      </c>
    </row>
    <row r="115" spans="1:9" x14ac:dyDescent="0.25">
      <c r="A115" s="1">
        <v>45620</v>
      </c>
      <c r="B115">
        <v>2024</v>
      </c>
      <c r="C115" t="s">
        <v>15</v>
      </c>
      <c r="D115" t="s">
        <v>13</v>
      </c>
      <c r="E115">
        <v>18614</v>
      </c>
      <c r="F115" s="2">
        <v>781788</v>
      </c>
      <c r="G115" s="2">
        <v>465350</v>
      </c>
      <c r="H115" s="2">
        <f t="shared" si="2"/>
        <v>316438</v>
      </c>
      <c r="I115" s="2">
        <f t="shared" si="3"/>
        <v>42</v>
      </c>
    </row>
    <row r="116" spans="1:9" x14ac:dyDescent="0.25">
      <c r="A116" s="1">
        <v>44431</v>
      </c>
      <c r="B116">
        <v>2021</v>
      </c>
      <c r="C116" t="s">
        <v>7</v>
      </c>
      <c r="D116" t="s">
        <v>8</v>
      </c>
      <c r="E116">
        <v>8983</v>
      </c>
      <c r="F116" s="2">
        <v>224575</v>
      </c>
      <c r="G116" s="2">
        <v>143728</v>
      </c>
      <c r="H116" s="2">
        <f t="shared" si="2"/>
        <v>80847</v>
      </c>
      <c r="I116" s="2">
        <f t="shared" si="3"/>
        <v>25</v>
      </c>
    </row>
    <row r="117" spans="1:9" x14ac:dyDescent="0.25">
      <c r="A117" s="1">
        <v>44963</v>
      </c>
      <c r="B117">
        <v>2023</v>
      </c>
      <c r="C117" t="s">
        <v>7</v>
      </c>
      <c r="D117" t="s">
        <v>12</v>
      </c>
      <c r="E117">
        <v>18120</v>
      </c>
      <c r="F117" s="2">
        <v>453000</v>
      </c>
      <c r="G117" s="2">
        <v>235560</v>
      </c>
      <c r="H117" s="2">
        <f t="shared" si="2"/>
        <v>217440</v>
      </c>
      <c r="I117" s="2">
        <f t="shared" si="3"/>
        <v>25</v>
      </c>
    </row>
    <row r="118" spans="1:9" x14ac:dyDescent="0.25">
      <c r="A118" s="1">
        <v>44270</v>
      </c>
      <c r="B118">
        <v>2021</v>
      </c>
      <c r="C118" t="s">
        <v>9</v>
      </c>
      <c r="D118" t="s">
        <v>10</v>
      </c>
      <c r="E118">
        <v>24432</v>
      </c>
      <c r="F118" s="2">
        <v>928416</v>
      </c>
      <c r="G118" s="2">
        <v>439776</v>
      </c>
      <c r="H118" s="2">
        <f t="shared" si="2"/>
        <v>488640</v>
      </c>
      <c r="I118" s="2">
        <f t="shared" si="3"/>
        <v>38</v>
      </c>
    </row>
    <row r="119" spans="1:9" x14ac:dyDescent="0.25">
      <c r="A119" s="1">
        <v>44330</v>
      </c>
      <c r="B119">
        <v>2021</v>
      </c>
      <c r="C119" t="s">
        <v>17</v>
      </c>
      <c r="D119" t="s">
        <v>8</v>
      </c>
      <c r="E119">
        <v>26724</v>
      </c>
      <c r="F119" s="2">
        <v>641376</v>
      </c>
      <c r="G119" s="2">
        <v>721548</v>
      </c>
      <c r="H119" s="2">
        <f t="shared" si="2"/>
        <v>-80172</v>
      </c>
      <c r="I119" s="2">
        <f t="shared" si="3"/>
        <v>24</v>
      </c>
    </row>
    <row r="120" spans="1:9" x14ac:dyDescent="0.25">
      <c r="A120" s="1">
        <v>45911</v>
      </c>
      <c r="B120">
        <v>2025</v>
      </c>
      <c r="C120" t="s">
        <v>17</v>
      </c>
      <c r="D120" t="s">
        <v>10</v>
      </c>
      <c r="E120">
        <v>8307</v>
      </c>
      <c r="F120" s="2">
        <v>274131</v>
      </c>
      <c r="G120" s="2">
        <v>199368</v>
      </c>
      <c r="H120" s="2">
        <f t="shared" si="2"/>
        <v>74763</v>
      </c>
      <c r="I120" s="2">
        <f t="shared" si="3"/>
        <v>33</v>
      </c>
    </row>
    <row r="121" spans="1:9" x14ac:dyDescent="0.25">
      <c r="A121" s="1">
        <v>45644</v>
      </c>
      <c r="B121">
        <v>2024</v>
      </c>
      <c r="C121" t="s">
        <v>16</v>
      </c>
      <c r="D121" t="s">
        <v>13</v>
      </c>
      <c r="E121">
        <v>22946</v>
      </c>
      <c r="F121" s="2">
        <v>481866</v>
      </c>
      <c r="G121" s="2">
        <v>458920</v>
      </c>
      <c r="H121" s="2">
        <f t="shared" si="2"/>
        <v>22946</v>
      </c>
      <c r="I121" s="2">
        <f t="shared" si="3"/>
        <v>21</v>
      </c>
    </row>
    <row r="122" spans="1:9" x14ac:dyDescent="0.25">
      <c r="A122" s="1">
        <v>44502</v>
      </c>
      <c r="B122">
        <v>2021</v>
      </c>
      <c r="C122" t="s">
        <v>15</v>
      </c>
      <c r="D122" t="s">
        <v>14</v>
      </c>
      <c r="E122">
        <v>27411</v>
      </c>
      <c r="F122" s="2">
        <v>657864</v>
      </c>
      <c r="G122" s="2">
        <v>740097</v>
      </c>
      <c r="H122" s="2">
        <f t="shared" si="2"/>
        <v>-82233</v>
      </c>
      <c r="I122" s="2">
        <f t="shared" si="3"/>
        <v>24</v>
      </c>
    </row>
    <row r="123" spans="1:9" x14ac:dyDescent="0.25">
      <c r="A123" s="1">
        <v>45395</v>
      </c>
      <c r="B123">
        <v>2024</v>
      </c>
      <c r="C123" t="s">
        <v>17</v>
      </c>
      <c r="D123" t="s">
        <v>14</v>
      </c>
      <c r="E123">
        <v>29101</v>
      </c>
      <c r="F123" s="2">
        <v>814828</v>
      </c>
      <c r="G123" s="2">
        <v>378313</v>
      </c>
      <c r="H123" s="2">
        <f t="shared" si="2"/>
        <v>436515</v>
      </c>
      <c r="I123" s="2">
        <f t="shared" si="3"/>
        <v>28</v>
      </c>
    </row>
    <row r="124" spans="1:9" x14ac:dyDescent="0.25">
      <c r="A124" s="1">
        <v>44828</v>
      </c>
      <c r="B124">
        <v>2022</v>
      </c>
      <c r="C124" t="s">
        <v>17</v>
      </c>
      <c r="D124" t="s">
        <v>10</v>
      </c>
      <c r="E124">
        <v>23216</v>
      </c>
      <c r="F124" s="2">
        <v>580400</v>
      </c>
      <c r="G124" s="2">
        <v>371456</v>
      </c>
      <c r="H124" s="2">
        <f t="shared" si="2"/>
        <v>208944</v>
      </c>
      <c r="I124" s="2">
        <f t="shared" si="3"/>
        <v>25</v>
      </c>
    </row>
    <row r="125" spans="1:9" x14ac:dyDescent="0.25">
      <c r="A125" s="1">
        <v>44293</v>
      </c>
      <c r="B125">
        <v>2021</v>
      </c>
      <c r="C125" t="s">
        <v>9</v>
      </c>
      <c r="D125" t="s">
        <v>8</v>
      </c>
      <c r="E125">
        <v>5296</v>
      </c>
      <c r="F125" s="2">
        <v>174768</v>
      </c>
      <c r="G125" s="2">
        <v>148288</v>
      </c>
      <c r="H125" s="2">
        <f t="shared" si="2"/>
        <v>26480</v>
      </c>
      <c r="I125" s="2">
        <f t="shared" si="3"/>
        <v>33</v>
      </c>
    </row>
    <row r="126" spans="1:9" x14ac:dyDescent="0.25">
      <c r="A126" s="1">
        <v>44584</v>
      </c>
      <c r="B126">
        <v>2022</v>
      </c>
      <c r="C126" t="s">
        <v>11</v>
      </c>
      <c r="D126" t="s">
        <v>12</v>
      </c>
      <c r="E126">
        <v>24303</v>
      </c>
      <c r="F126" s="2">
        <v>874908</v>
      </c>
      <c r="G126" s="2">
        <v>631878</v>
      </c>
      <c r="H126" s="2">
        <f t="shared" si="2"/>
        <v>243030</v>
      </c>
      <c r="I126" s="2">
        <f t="shared" si="3"/>
        <v>36</v>
      </c>
    </row>
    <row r="127" spans="1:9" x14ac:dyDescent="0.25">
      <c r="A127" s="1">
        <v>45507</v>
      </c>
      <c r="B127">
        <v>2024</v>
      </c>
      <c r="C127" t="s">
        <v>9</v>
      </c>
      <c r="D127" t="s">
        <v>13</v>
      </c>
      <c r="E127">
        <v>9762</v>
      </c>
      <c r="F127" s="2">
        <v>351432</v>
      </c>
      <c r="G127" s="2">
        <v>205002</v>
      </c>
      <c r="H127" s="2">
        <f t="shared" si="2"/>
        <v>146430</v>
      </c>
      <c r="I127" s="2">
        <f t="shared" si="3"/>
        <v>36</v>
      </c>
    </row>
    <row r="128" spans="1:9" x14ac:dyDescent="0.25">
      <c r="A128" s="1">
        <v>45781</v>
      </c>
      <c r="B128">
        <v>2025</v>
      </c>
      <c r="C128" t="s">
        <v>15</v>
      </c>
      <c r="D128" t="s">
        <v>14</v>
      </c>
      <c r="E128">
        <v>29873</v>
      </c>
      <c r="F128" s="2">
        <v>657206</v>
      </c>
      <c r="G128" s="2">
        <v>358476</v>
      </c>
      <c r="H128" s="2">
        <f t="shared" si="2"/>
        <v>298730</v>
      </c>
      <c r="I128" s="2">
        <f t="shared" si="3"/>
        <v>22</v>
      </c>
    </row>
    <row r="129" spans="1:9" x14ac:dyDescent="0.25">
      <c r="A129" s="1">
        <v>45945</v>
      </c>
      <c r="B129">
        <v>2025</v>
      </c>
      <c r="C129" t="s">
        <v>7</v>
      </c>
      <c r="D129" t="s">
        <v>10</v>
      </c>
      <c r="E129">
        <v>6838</v>
      </c>
      <c r="F129" s="2">
        <v>177788</v>
      </c>
      <c r="G129" s="2">
        <v>136760</v>
      </c>
      <c r="H129" s="2">
        <f t="shared" si="2"/>
        <v>41028</v>
      </c>
      <c r="I129" s="2">
        <f t="shared" si="3"/>
        <v>26</v>
      </c>
    </row>
    <row r="130" spans="1:9" x14ac:dyDescent="0.25">
      <c r="A130" s="1">
        <v>44400</v>
      </c>
      <c r="B130">
        <v>2021</v>
      </c>
      <c r="C130" t="s">
        <v>9</v>
      </c>
      <c r="D130" t="s">
        <v>12</v>
      </c>
      <c r="E130">
        <v>24854</v>
      </c>
      <c r="F130" s="2">
        <v>646204</v>
      </c>
      <c r="G130" s="2">
        <v>571642</v>
      </c>
      <c r="H130" s="2">
        <f t="shared" si="2"/>
        <v>74562</v>
      </c>
      <c r="I130" s="2">
        <f t="shared" si="3"/>
        <v>26</v>
      </c>
    </row>
    <row r="131" spans="1:9" x14ac:dyDescent="0.25">
      <c r="A131" s="1">
        <v>44528</v>
      </c>
      <c r="B131">
        <v>2021</v>
      </c>
      <c r="C131" t="s">
        <v>15</v>
      </c>
      <c r="D131" t="s">
        <v>13</v>
      </c>
      <c r="E131">
        <v>10300</v>
      </c>
      <c r="F131" s="2">
        <v>412000</v>
      </c>
      <c r="G131" s="2">
        <v>144200</v>
      </c>
      <c r="H131" s="2">
        <f t="shared" ref="H131:H194" si="4">F131-G131</f>
        <v>267800</v>
      </c>
      <c r="I131" s="2">
        <f t="shared" ref="I131:I194" si="5">F131/E131</f>
        <v>40</v>
      </c>
    </row>
    <row r="132" spans="1:9" x14ac:dyDescent="0.25">
      <c r="A132" s="1">
        <v>44364</v>
      </c>
      <c r="B132">
        <v>2021</v>
      </c>
      <c r="C132" t="s">
        <v>9</v>
      </c>
      <c r="D132" t="s">
        <v>10</v>
      </c>
      <c r="E132">
        <v>24794</v>
      </c>
      <c r="F132" s="2">
        <v>867790</v>
      </c>
      <c r="G132" s="2">
        <v>644644</v>
      </c>
      <c r="H132" s="2">
        <f t="shared" si="4"/>
        <v>223146</v>
      </c>
      <c r="I132" s="2">
        <f t="shared" si="5"/>
        <v>35</v>
      </c>
    </row>
    <row r="133" spans="1:9" x14ac:dyDescent="0.25">
      <c r="A133" s="1">
        <v>44828</v>
      </c>
      <c r="B133">
        <v>2022</v>
      </c>
      <c r="C133" t="s">
        <v>7</v>
      </c>
      <c r="D133" t="s">
        <v>13</v>
      </c>
      <c r="E133">
        <v>6492</v>
      </c>
      <c r="F133" s="2">
        <v>207744</v>
      </c>
      <c r="G133" s="2">
        <v>175284</v>
      </c>
      <c r="H133" s="2">
        <f t="shared" si="4"/>
        <v>32460</v>
      </c>
      <c r="I133" s="2">
        <f t="shared" si="5"/>
        <v>32</v>
      </c>
    </row>
    <row r="134" spans="1:9" x14ac:dyDescent="0.25">
      <c r="A134" s="1">
        <v>44297</v>
      </c>
      <c r="B134">
        <v>2021</v>
      </c>
      <c r="C134" t="s">
        <v>15</v>
      </c>
      <c r="D134" t="s">
        <v>14</v>
      </c>
      <c r="E134">
        <v>24711</v>
      </c>
      <c r="F134" s="2">
        <v>939018</v>
      </c>
      <c r="G134" s="2">
        <v>469509</v>
      </c>
      <c r="H134" s="2">
        <f t="shared" si="4"/>
        <v>469509</v>
      </c>
      <c r="I134" s="2">
        <f t="shared" si="5"/>
        <v>38</v>
      </c>
    </row>
    <row r="135" spans="1:9" x14ac:dyDescent="0.25">
      <c r="A135" s="1">
        <v>45060</v>
      </c>
      <c r="B135">
        <v>2023</v>
      </c>
      <c r="C135" t="s">
        <v>17</v>
      </c>
      <c r="D135" t="s">
        <v>12</v>
      </c>
      <c r="E135">
        <v>28175</v>
      </c>
      <c r="F135" s="2">
        <v>1014300</v>
      </c>
      <c r="G135" s="2">
        <v>563500</v>
      </c>
      <c r="H135" s="2">
        <f t="shared" si="4"/>
        <v>450800</v>
      </c>
      <c r="I135" s="2">
        <f t="shared" si="5"/>
        <v>36</v>
      </c>
    </row>
    <row r="136" spans="1:9" x14ac:dyDescent="0.25">
      <c r="A136" s="1">
        <v>45133</v>
      </c>
      <c r="B136">
        <v>2023</v>
      </c>
      <c r="C136" t="s">
        <v>9</v>
      </c>
      <c r="D136" t="s">
        <v>13</v>
      </c>
      <c r="E136">
        <v>29128</v>
      </c>
      <c r="F136" s="2">
        <v>902968</v>
      </c>
      <c r="G136" s="2">
        <v>553432</v>
      </c>
      <c r="H136" s="2">
        <f t="shared" si="4"/>
        <v>349536</v>
      </c>
      <c r="I136" s="2">
        <f t="shared" si="5"/>
        <v>31</v>
      </c>
    </row>
    <row r="137" spans="1:9" x14ac:dyDescent="0.25">
      <c r="A137" s="1">
        <v>45701</v>
      </c>
      <c r="B137">
        <v>2025</v>
      </c>
      <c r="C137" t="s">
        <v>9</v>
      </c>
      <c r="D137" t="s">
        <v>8</v>
      </c>
      <c r="E137">
        <v>19520</v>
      </c>
      <c r="F137" s="2">
        <v>663680</v>
      </c>
      <c r="G137" s="2">
        <v>312320</v>
      </c>
      <c r="H137" s="2">
        <f t="shared" si="4"/>
        <v>351360</v>
      </c>
      <c r="I137" s="2">
        <f t="shared" si="5"/>
        <v>34</v>
      </c>
    </row>
    <row r="138" spans="1:9" x14ac:dyDescent="0.25">
      <c r="A138" s="1">
        <v>45782</v>
      </c>
      <c r="B138">
        <v>2025</v>
      </c>
      <c r="C138" t="s">
        <v>15</v>
      </c>
      <c r="D138" t="s">
        <v>12</v>
      </c>
      <c r="E138">
        <v>13906</v>
      </c>
      <c r="F138" s="2">
        <v>458898</v>
      </c>
      <c r="G138" s="2">
        <v>347650</v>
      </c>
      <c r="H138" s="2">
        <f t="shared" si="4"/>
        <v>111248</v>
      </c>
      <c r="I138" s="2">
        <f t="shared" si="5"/>
        <v>33</v>
      </c>
    </row>
    <row r="139" spans="1:9" x14ac:dyDescent="0.25">
      <c r="A139" s="1">
        <v>45122</v>
      </c>
      <c r="B139">
        <v>2023</v>
      </c>
      <c r="C139" t="s">
        <v>11</v>
      </c>
      <c r="D139" t="s">
        <v>12</v>
      </c>
      <c r="E139">
        <v>13030</v>
      </c>
      <c r="F139" s="2">
        <v>377870</v>
      </c>
      <c r="G139" s="2">
        <v>260600</v>
      </c>
      <c r="H139" s="2">
        <f t="shared" si="4"/>
        <v>117270</v>
      </c>
      <c r="I139" s="2">
        <f t="shared" si="5"/>
        <v>29</v>
      </c>
    </row>
    <row r="140" spans="1:9" x14ac:dyDescent="0.25">
      <c r="A140" s="1">
        <v>45759</v>
      </c>
      <c r="B140">
        <v>2025</v>
      </c>
      <c r="C140" t="s">
        <v>11</v>
      </c>
      <c r="D140" t="s">
        <v>12</v>
      </c>
      <c r="E140">
        <v>11570</v>
      </c>
      <c r="F140" s="2">
        <v>289250</v>
      </c>
      <c r="G140" s="2">
        <v>231400</v>
      </c>
      <c r="H140" s="2">
        <f t="shared" si="4"/>
        <v>57850</v>
      </c>
      <c r="I140" s="2">
        <f t="shared" si="5"/>
        <v>25</v>
      </c>
    </row>
    <row r="141" spans="1:9" x14ac:dyDescent="0.25">
      <c r="A141" s="1">
        <v>44536</v>
      </c>
      <c r="B141">
        <v>2021</v>
      </c>
      <c r="C141" t="s">
        <v>17</v>
      </c>
      <c r="D141" t="s">
        <v>12</v>
      </c>
      <c r="E141">
        <v>9587</v>
      </c>
      <c r="F141" s="2">
        <v>412241</v>
      </c>
      <c r="G141" s="2">
        <v>201327</v>
      </c>
      <c r="H141" s="2">
        <f t="shared" si="4"/>
        <v>210914</v>
      </c>
      <c r="I141" s="2">
        <f t="shared" si="5"/>
        <v>43</v>
      </c>
    </row>
    <row r="142" spans="1:9" x14ac:dyDescent="0.25">
      <c r="A142" s="1">
        <v>45608</v>
      </c>
      <c r="B142">
        <v>2024</v>
      </c>
      <c r="C142" t="s">
        <v>11</v>
      </c>
      <c r="D142" t="s">
        <v>8</v>
      </c>
      <c r="E142">
        <v>19888</v>
      </c>
      <c r="F142" s="2">
        <v>855184</v>
      </c>
      <c r="G142" s="2">
        <v>517088</v>
      </c>
      <c r="H142" s="2">
        <f t="shared" si="4"/>
        <v>338096</v>
      </c>
      <c r="I142" s="2">
        <f t="shared" si="5"/>
        <v>43</v>
      </c>
    </row>
    <row r="143" spans="1:9" x14ac:dyDescent="0.25">
      <c r="A143" s="1">
        <v>44541</v>
      </c>
      <c r="B143">
        <v>2021</v>
      </c>
      <c r="C143" t="s">
        <v>16</v>
      </c>
      <c r="D143" t="s">
        <v>8</v>
      </c>
      <c r="E143">
        <v>14473</v>
      </c>
      <c r="F143" s="2">
        <v>448663</v>
      </c>
      <c r="G143" s="2">
        <v>274987</v>
      </c>
      <c r="H143" s="2">
        <f t="shared" si="4"/>
        <v>173676</v>
      </c>
      <c r="I143" s="2">
        <f t="shared" si="5"/>
        <v>31</v>
      </c>
    </row>
    <row r="144" spans="1:9" x14ac:dyDescent="0.25">
      <c r="A144" s="1">
        <v>45729</v>
      </c>
      <c r="B144">
        <v>2025</v>
      </c>
      <c r="C144" t="s">
        <v>11</v>
      </c>
      <c r="D144" t="s">
        <v>12</v>
      </c>
      <c r="E144">
        <v>12416</v>
      </c>
      <c r="F144" s="2">
        <v>558720</v>
      </c>
      <c r="G144" s="2">
        <v>198656</v>
      </c>
      <c r="H144" s="2">
        <f t="shared" si="4"/>
        <v>360064</v>
      </c>
      <c r="I144" s="2">
        <f t="shared" si="5"/>
        <v>45</v>
      </c>
    </row>
    <row r="145" spans="1:9" x14ac:dyDescent="0.25">
      <c r="A145" s="1">
        <v>45148</v>
      </c>
      <c r="B145">
        <v>2023</v>
      </c>
      <c r="C145" t="s">
        <v>9</v>
      </c>
      <c r="D145" t="s">
        <v>8</v>
      </c>
      <c r="E145">
        <v>25222</v>
      </c>
      <c r="F145" s="2">
        <v>958436</v>
      </c>
      <c r="G145" s="2">
        <v>706216</v>
      </c>
      <c r="H145" s="2">
        <f t="shared" si="4"/>
        <v>252220</v>
      </c>
      <c r="I145" s="2">
        <f t="shared" si="5"/>
        <v>38</v>
      </c>
    </row>
    <row r="146" spans="1:9" x14ac:dyDescent="0.25">
      <c r="A146" s="1">
        <v>45374</v>
      </c>
      <c r="B146">
        <v>2024</v>
      </c>
      <c r="C146" t="s">
        <v>7</v>
      </c>
      <c r="D146" t="s">
        <v>8</v>
      </c>
      <c r="E146">
        <v>5310</v>
      </c>
      <c r="F146" s="2">
        <v>191160</v>
      </c>
      <c r="G146" s="2">
        <v>106200</v>
      </c>
      <c r="H146" s="2">
        <f t="shared" si="4"/>
        <v>84960</v>
      </c>
      <c r="I146" s="2">
        <f t="shared" si="5"/>
        <v>36</v>
      </c>
    </row>
    <row r="147" spans="1:9" x14ac:dyDescent="0.25">
      <c r="A147" s="1">
        <v>45732</v>
      </c>
      <c r="B147">
        <v>2025</v>
      </c>
      <c r="C147" t="s">
        <v>15</v>
      </c>
      <c r="D147" t="s">
        <v>14</v>
      </c>
      <c r="E147">
        <v>22321</v>
      </c>
      <c r="F147" s="2">
        <v>736593</v>
      </c>
      <c r="G147" s="2">
        <v>513383</v>
      </c>
      <c r="H147" s="2">
        <f t="shared" si="4"/>
        <v>223210</v>
      </c>
      <c r="I147" s="2">
        <f t="shared" si="5"/>
        <v>33</v>
      </c>
    </row>
    <row r="148" spans="1:9" x14ac:dyDescent="0.25">
      <c r="A148" s="1">
        <v>44247</v>
      </c>
      <c r="B148">
        <v>2021</v>
      </c>
      <c r="C148" t="s">
        <v>9</v>
      </c>
      <c r="D148" t="s">
        <v>8</v>
      </c>
      <c r="E148">
        <v>7169</v>
      </c>
      <c r="F148" s="2">
        <v>301098</v>
      </c>
      <c r="G148" s="2">
        <v>121873</v>
      </c>
      <c r="H148" s="2">
        <f t="shared" si="4"/>
        <v>179225</v>
      </c>
      <c r="I148" s="2">
        <f t="shared" si="5"/>
        <v>42</v>
      </c>
    </row>
    <row r="149" spans="1:9" x14ac:dyDescent="0.25">
      <c r="A149" s="1">
        <v>45024</v>
      </c>
      <c r="B149">
        <v>2023</v>
      </c>
      <c r="C149" t="s">
        <v>17</v>
      </c>
      <c r="D149" t="s">
        <v>10</v>
      </c>
      <c r="E149">
        <v>26409</v>
      </c>
      <c r="F149" s="2">
        <v>897906</v>
      </c>
      <c r="G149" s="2">
        <v>713043</v>
      </c>
      <c r="H149" s="2">
        <f t="shared" si="4"/>
        <v>184863</v>
      </c>
      <c r="I149" s="2">
        <f t="shared" si="5"/>
        <v>34</v>
      </c>
    </row>
    <row r="150" spans="1:9" x14ac:dyDescent="0.25">
      <c r="A150" s="1">
        <v>45140</v>
      </c>
      <c r="B150">
        <v>2023</v>
      </c>
      <c r="C150" t="s">
        <v>16</v>
      </c>
      <c r="D150" t="s">
        <v>8</v>
      </c>
      <c r="E150">
        <v>26951</v>
      </c>
      <c r="F150" s="2">
        <v>646824</v>
      </c>
      <c r="G150" s="2">
        <v>673775</v>
      </c>
      <c r="H150" s="2">
        <f t="shared" si="4"/>
        <v>-26951</v>
      </c>
      <c r="I150" s="2">
        <f t="shared" si="5"/>
        <v>24</v>
      </c>
    </row>
    <row r="151" spans="1:9" x14ac:dyDescent="0.25">
      <c r="A151" s="1">
        <v>44832</v>
      </c>
      <c r="B151">
        <v>2022</v>
      </c>
      <c r="C151" t="s">
        <v>16</v>
      </c>
      <c r="D151" t="s">
        <v>12</v>
      </c>
      <c r="E151">
        <v>16758</v>
      </c>
      <c r="F151" s="2">
        <v>586530</v>
      </c>
      <c r="G151" s="2">
        <v>268128</v>
      </c>
      <c r="H151" s="2">
        <f t="shared" si="4"/>
        <v>318402</v>
      </c>
      <c r="I151" s="2">
        <f t="shared" si="5"/>
        <v>35</v>
      </c>
    </row>
    <row r="152" spans="1:9" x14ac:dyDescent="0.25">
      <c r="A152" s="1">
        <v>45554</v>
      </c>
      <c r="B152">
        <v>2024</v>
      </c>
      <c r="C152" t="s">
        <v>16</v>
      </c>
      <c r="D152" t="s">
        <v>13</v>
      </c>
      <c r="E152">
        <v>28277</v>
      </c>
      <c r="F152" s="2">
        <v>650371</v>
      </c>
      <c r="G152" s="2">
        <v>480709</v>
      </c>
      <c r="H152" s="2">
        <f t="shared" si="4"/>
        <v>169662</v>
      </c>
      <c r="I152" s="2">
        <f t="shared" si="5"/>
        <v>23</v>
      </c>
    </row>
    <row r="153" spans="1:9" x14ac:dyDescent="0.25">
      <c r="A153" s="1">
        <v>44466</v>
      </c>
      <c r="B153">
        <v>2021</v>
      </c>
      <c r="C153" t="s">
        <v>16</v>
      </c>
      <c r="D153" t="s">
        <v>13</v>
      </c>
      <c r="E153">
        <v>16730</v>
      </c>
      <c r="F153" s="2">
        <v>652470</v>
      </c>
      <c r="G153" s="2">
        <v>250950</v>
      </c>
      <c r="H153" s="2">
        <f t="shared" si="4"/>
        <v>401520</v>
      </c>
      <c r="I153" s="2">
        <f t="shared" si="5"/>
        <v>39</v>
      </c>
    </row>
    <row r="154" spans="1:9" x14ac:dyDescent="0.25">
      <c r="A154" s="1">
        <v>45081</v>
      </c>
      <c r="B154">
        <v>2023</v>
      </c>
      <c r="C154" t="s">
        <v>17</v>
      </c>
      <c r="D154" t="s">
        <v>10</v>
      </c>
      <c r="E154">
        <v>5629</v>
      </c>
      <c r="F154" s="2">
        <v>140725</v>
      </c>
      <c r="G154" s="2">
        <v>140725</v>
      </c>
      <c r="H154" s="2">
        <f t="shared" si="4"/>
        <v>0</v>
      </c>
      <c r="I154" s="2">
        <f t="shared" si="5"/>
        <v>25</v>
      </c>
    </row>
    <row r="155" spans="1:9" x14ac:dyDescent="0.25">
      <c r="A155" s="1">
        <v>44851</v>
      </c>
      <c r="B155">
        <v>2022</v>
      </c>
      <c r="C155" t="s">
        <v>15</v>
      </c>
      <c r="D155" t="s">
        <v>8</v>
      </c>
      <c r="E155">
        <v>20065</v>
      </c>
      <c r="F155" s="2">
        <v>822665</v>
      </c>
      <c r="G155" s="2">
        <v>441430</v>
      </c>
      <c r="H155" s="2">
        <f t="shared" si="4"/>
        <v>381235</v>
      </c>
      <c r="I155" s="2">
        <f t="shared" si="5"/>
        <v>41</v>
      </c>
    </row>
    <row r="156" spans="1:9" x14ac:dyDescent="0.25">
      <c r="A156" s="1">
        <v>44209</v>
      </c>
      <c r="B156">
        <v>2021</v>
      </c>
      <c r="C156" t="s">
        <v>9</v>
      </c>
      <c r="D156" t="s">
        <v>8</v>
      </c>
      <c r="E156">
        <v>20085</v>
      </c>
      <c r="F156" s="2">
        <v>542295</v>
      </c>
      <c r="G156" s="2">
        <v>361530</v>
      </c>
      <c r="H156" s="2">
        <f t="shared" si="4"/>
        <v>180765</v>
      </c>
      <c r="I156" s="2">
        <f t="shared" si="5"/>
        <v>27</v>
      </c>
    </row>
    <row r="157" spans="1:9" x14ac:dyDescent="0.25">
      <c r="A157" s="1">
        <v>45326</v>
      </c>
      <c r="B157">
        <v>2024</v>
      </c>
      <c r="C157" t="s">
        <v>11</v>
      </c>
      <c r="D157" t="s">
        <v>14</v>
      </c>
      <c r="E157">
        <v>23493</v>
      </c>
      <c r="F157" s="2">
        <v>1057185</v>
      </c>
      <c r="G157" s="2">
        <v>328902</v>
      </c>
      <c r="H157" s="2">
        <f t="shared" si="4"/>
        <v>728283</v>
      </c>
      <c r="I157" s="2">
        <f t="shared" si="5"/>
        <v>45</v>
      </c>
    </row>
    <row r="158" spans="1:9" x14ac:dyDescent="0.25">
      <c r="A158" s="1">
        <v>45754</v>
      </c>
      <c r="B158">
        <v>2025</v>
      </c>
      <c r="C158" t="s">
        <v>17</v>
      </c>
      <c r="D158" t="s">
        <v>13</v>
      </c>
      <c r="E158">
        <v>15725</v>
      </c>
      <c r="F158" s="2">
        <v>676175</v>
      </c>
      <c r="G158" s="2">
        <v>235875</v>
      </c>
      <c r="H158" s="2">
        <f t="shared" si="4"/>
        <v>440300</v>
      </c>
      <c r="I158" s="2">
        <f t="shared" si="5"/>
        <v>43</v>
      </c>
    </row>
    <row r="159" spans="1:9" x14ac:dyDescent="0.25">
      <c r="A159" s="1">
        <v>45255</v>
      </c>
      <c r="B159">
        <v>2023</v>
      </c>
      <c r="C159" t="s">
        <v>9</v>
      </c>
      <c r="D159" t="s">
        <v>13</v>
      </c>
      <c r="E159">
        <v>29590</v>
      </c>
      <c r="F159" s="2">
        <v>1035650</v>
      </c>
      <c r="G159" s="2">
        <v>532620</v>
      </c>
      <c r="H159" s="2">
        <f t="shared" si="4"/>
        <v>503030</v>
      </c>
      <c r="I159" s="2">
        <f t="shared" si="5"/>
        <v>35</v>
      </c>
    </row>
    <row r="160" spans="1:9" x14ac:dyDescent="0.25">
      <c r="A160" s="1">
        <v>44279</v>
      </c>
      <c r="B160">
        <v>2021</v>
      </c>
      <c r="C160" t="s">
        <v>7</v>
      </c>
      <c r="D160" t="s">
        <v>13</v>
      </c>
      <c r="E160">
        <v>10039</v>
      </c>
      <c r="F160" s="2">
        <v>261014</v>
      </c>
      <c r="G160" s="2">
        <v>210819</v>
      </c>
      <c r="H160" s="2">
        <f t="shared" si="4"/>
        <v>50195</v>
      </c>
      <c r="I160" s="2">
        <f t="shared" si="5"/>
        <v>26</v>
      </c>
    </row>
    <row r="161" spans="1:9" x14ac:dyDescent="0.25">
      <c r="A161" s="1">
        <v>45468</v>
      </c>
      <c r="B161">
        <v>2024</v>
      </c>
      <c r="C161" t="s">
        <v>15</v>
      </c>
      <c r="D161" t="s">
        <v>14</v>
      </c>
      <c r="E161">
        <v>21515</v>
      </c>
      <c r="F161" s="2">
        <v>537875</v>
      </c>
      <c r="G161" s="2">
        <v>279695</v>
      </c>
      <c r="H161" s="2">
        <f t="shared" si="4"/>
        <v>258180</v>
      </c>
      <c r="I161" s="2">
        <f t="shared" si="5"/>
        <v>25</v>
      </c>
    </row>
    <row r="162" spans="1:9" x14ac:dyDescent="0.25">
      <c r="A162" s="1">
        <v>44485</v>
      </c>
      <c r="B162">
        <v>2021</v>
      </c>
      <c r="C162" t="s">
        <v>9</v>
      </c>
      <c r="D162" t="s">
        <v>13</v>
      </c>
      <c r="E162">
        <v>18022</v>
      </c>
      <c r="F162" s="2">
        <v>558682</v>
      </c>
      <c r="G162" s="2">
        <v>396484</v>
      </c>
      <c r="H162" s="2">
        <f t="shared" si="4"/>
        <v>162198</v>
      </c>
      <c r="I162" s="2">
        <f t="shared" si="5"/>
        <v>31</v>
      </c>
    </row>
    <row r="163" spans="1:9" x14ac:dyDescent="0.25">
      <c r="A163" s="1">
        <v>44562</v>
      </c>
      <c r="B163">
        <v>2022</v>
      </c>
      <c r="C163" t="s">
        <v>11</v>
      </c>
      <c r="D163" t="s">
        <v>14</v>
      </c>
      <c r="E163">
        <v>13069</v>
      </c>
      <c r="F163" s="2">
        <v>405139</v>
      </c>
      <c r="G163" s="2">
        <v>339794</v>
      </c>
      <c r="H163" s="2">
        <f t="shared" si="4"/>
        <v>65345</v>
      </c>
      <c r="I163" s="2">
        <f t="shared" si="5"/>
        <v>31</v>
      </c>
    </row>
    <row r="164" spans="1:9" x14ac:dyDescent="0.25">
      <c r="A164" s="1">
        <v>45523</v>
      </c>
      <c r="B164">
        <v>2024</v>
      </c>
      <c r="C164" t="s">
        <v>9</v>
      </c>
      <c r="D164" t="s">
        <v>8</v>
      </c>
      <c r="E164">
        <v>5035</v>
      </c>
      <c r="F164" s="2">
        <v>100700</v>
      </c>
      <c r="G164" s="2">
        <v>90630</v>
      </c>
      <c r="H164" s="2">
        <f t="shared" si="4"/>
        <v>10070</v>
      </c>
      <c r="I164" s="2">
        <f t="shared" si="5"/>
        <v>20</v>
      </c>
    </row>
    <row r="165" spans="1:9" x14ac:dyDescent="0.25">
      <c r="A165" s="1">
        <v>44312</v>
      </c>
      <c r="B165">
        <v>2021</v>
      </c>
      <c r="C165" t="s">
        <v>11</v>
      </c>
      <c r="D165" t="s">
        <v>8</v>
      </c>
      <c r="E165">
        <v>16530</v>
      </c>
      <c r="F165" s="2">
        <v>562020</v>
      </c>
      <c r="G165" s="2">
        <v>314070</v>
      </c>
      <c r="H165" s="2">
        <f t="shared" si="4"/>
        <v>247950</v>
      </c>
      <c r="I165" s="2">
        <f t="shared" si="5"/>
        <v>34</v>
      </c>
    </row>
    <row r="166" spans="1:9" x14ac:dyDescent="0.25">
      <c r="A166" s="1">
        <v>44211</v>
      </c>
      <c r="B166">
        <v>2021</v>
      </c>
      <c r="C166" t="s">
        <v>9</v>
      </c>
      <c r="D166" t="s">
        <v>10</v>
      </c>
      <c r="E166">
        <v>7037</v>
      </c>
      <c r="F166" s="2">
        <v>267406</v>
      </c>
      <c r="G166" s="2">
        <v>105555</v>
      </c>
      <c r="H166" s="2">
        <f t="shared" si="4"/>
        <v>161851</v>
      </c>
      <c r="I166" s="2">
        <f t="shared" si="5"/>
        <v>38</v>
      </c>
    </row>
    <row r="167" spans="1:9" x14ac:dyDescent="0.25">
      <c r="A167" s="1">
        <v>44486</v>
      </c>
      <c r="B167">
        <v>2021</v>
      </c>
      <c r="C167" t="s">
        <v>9</v>
      </c>
      <c r="D167" t="s">
        <v>14</v>
      </c>
      <c r="E167">
        <v>24200</v>
      </c>
      <c r="F167" s="2">
        <v>629200</v>
      </c>
      <c r="G167" s="2">
        <v>677600</v>
      </c>
      <c r="H167" s="2">
        <f t="shared" si="4"/>
        <v>-48400</v>
      </c>
      <c r="I167" s="2">
        <f t="shared" si="5"/>
        <v>26</v>
      </c>
    </row>
    <row r="168" spans="1:9" x14ac:dyDescent="0.25">
      <c r="A168" s="1">
        <v>45545</v>
      </c>
      <c r="B168">
        <v>2024</v>
      </c>
      <c r="C168" t="s">
        <v>7</v>
      </c>
      <c r="D168" t="s">
        <v>13</v>
      </c>
      <c r="E168">
        <v>14854</v>
      </c>
      <c r="F168" s="2">
        <v>490182</v>
      </c>
      <c r="G168" s="2">
        <v>267372</v>
      </c>
      <c r="H168" s="2">
        <f t="shared" si="4"/>
        <v>222810</v>
      </c>
      <c r="I168" s="2">
        <f t="shared" si="5"/>
        <v>33</v>
      </c>
    </row>
    <row r="169" spans="1:9" x14ac:dyDescent="0.25">
      <c r="A169" s="1">
        <v>45286</v>
      </c>
      <c r="B169">
        <v>2023</v>
      </c>
      <c r="C169" t="s">
        <v>17</v>
      </c>
      <c r="D169" t="s">
        <v>10</v>
      </c>
      <c r="E169">
        <v>29327</v>
      </c>
      <c r="F169" s="2">
        <v>1290388</v>
      </c>
      <c r="G169" s="2">
        <v>645194</v>
      </c>
      <c r="H169" s="2">
        <f t="shared" si="4"/>
        <v>645194</v>
      </c>
      <c r="I169" s="2">
        <f t="shared" si="5"/>
        <v>44</v>
      </c>
    </row>
    <row r="170" spans="1:9" x14ac:dyDescent="0.25">
      <c r="A170" s="1">
        <v>44217</v>
      </c>
      <c r="B170">
        <v>2021</v>
      </c>
      <c r="C170" t="s">
        <v>9</v>
      </c>
      <c r="D170" t="s">
        <v>10</v>
      </c>
      <c r="E170">
        <v>8368</v>
      </c>
      <c r="F170" s="2">
        <v>251040</v>
      </c>
      <c r="G170" s="2">
        <v>234304</v>
      </c>
      <c r="H170" s="2">
        <f t="shared" si="4"/>
        <v>16736</v>
      </c>
      <c r="I170" s="2">
        <f t="shared" si="5"/>
        <v>30</v>
      </c>
    </row>
    <row r="171" spans="1:9" x14ac:dyDescent="0.25">
      <c r="A171" s="1">
        <v>44765</v>
      </c>
      <c r="B171">
        <v>2022</v>
      </c>
      <c r="C171" t="s">
        <v>7</v>
      </c>
      <c r="D171" t="s">
        <v>12</v>
      </c>
      <c r="E171">
        <v>28772</v>
      </c>
      <c r="F171" s="2">
        <v>690528</v>
      </c>
      <c r="G171" s="2">
        <v>546668</v>
      </c>
      <c r="H171" s="2">
        <f t="shared" si="4"/>
        <v>143860</v>
      </c>
      <c r="I171" s="2">
        <f t="shared" si="5"/>
        <v>24</v>
      </c>
    </row>
    <row r="172" spans="1:9" x14ac:dyDescent="0.25">
      <c r="A172" s="1">
        <v>44420</v>
      </c>
      <c r="B172">
        <v>2021</v>
      </c>
      <c r="C172" t="s">
        <v>16</v>
      </c>
      <c r="D172" t="s">
        <v>10</v>
      </c>
      <c r="E172">
        <v>25307</v>
      </c>
      <c r="F172" s="2">
        <v>607368</v>
      </c>
      <c r="G172" s="2">
        <v>582061</v>
      </c>
      <c r="H172" s="2">
        <f t="shared" si="4"/>
        <v>25307</v>
      </c>
      <c r="I172" s="2">
        <f t="shared" si="5"/>
        <v>24</v>
      </c>
    </row>
    <row r="173" spans="1:9" x14ac:dyDescent="0.25">
      <c r="A173" s="1">
        <v>45989</v>
      </c>
      <c r="B173">
        <v>2025</v>
      </c>
      <c r="C173" t="s">
        <v>17</v>
      </c>
      <c r="D173" t="s">
        <v>10</v>
      </c>
      <c r="E173">
        <v>19135</v>
      </c>
      <c r="F173" s="2">
        <v>440105</v>
      </c>
      <c r="G173" s="2">
        <v>287025</v>
      </c>
      <c r="H173" s="2">
        <f t="shared" si="4"/>
        <v>153080</v>
      </c>
      <c r="I173" s="2">
        <f t="shared" si="5"/>
        <v>23</v>
      </c>
    </row>
    <row r="174" spans="1:9" x14ac:dyDescent="0.25">
      <c r="A174" s="1">
        <v>45952</v>
      </c>
      <c r="B174">
        <v>2025</v>
      </c>
      <c r="C174" t="s">
        <v>9</v>
      </c>
      <c r="D174" t="s">
        <v>8</v>
      </c>
      <c r="E174">
        <v>27558</v>
      </c>
      <c r="F174" s="2">
        <v>1240110</v>
      </c>
      <c r="G174" s="2">
        <v>661392</v>
      </c>
      <c r="H174" s="2">
        <f t="shared" si="4"/>
        <v>578718</v>
      </c>
      <c r="I174" s="2">
        <f t="shared" si="5"/>
        <v>45</v>
      </c>
    </row>
    <row r="175" spans="1:9" x14ac:dyDescent="0.25">
      <c r="A175" s="1">
        <v>45619</v>
      </c>
      <c r="B175">
        <v>2024</v>
      </c>
      <c r="C175" t="s">
        <v>15</v>
      </c>
      <c r="D175" t="s">
        <v>14</v>
      </c>
      <c r="E175">
        <v>29138</v>
      </c>
      <c r="F175" s="2">
        <v>932416</v>
      </c>
      <c r="G175" s="2">
        <v>495346</v>
      </c>
      <c r="H175" s="2">
        <f t="shared" si="4"/>
        <v>437070</v>
      </c>
      <c r="I175" s="2">
        <f t="shared" si="5"/>
        <v>32</v>
      </c>
    </row>
    <row r="176" spans="1:9" x14ac:dyDescent="0.25">
      <c r="A176" s="1">
        <v>45248</v>
      </c>
      <c r="B176">
        <v>2023</v>
      </c>
      <c r="C176" t="s">
        <v>16</v>
      </c>
      <c r="D176" t="s">
        <v>10</v>
      </c>
      <c r="E176">
        <v>19511</v>
      </c>
      <c r="F176" s="2">
        <v>858484</v>
      </c>
      <c r="G176" s="2">
        <v>234132</v>
      </c>
      <c r="H176" s="2">
        <f t="shared" si="4"/>
        <v>624352</v>
      </c>
      <c r="I176" s="2">
        <f t="shared" si="5"/>
        <v>44</v>
      </c>
    </row>
    <row r="177" spans="1:9" x14ac:dyDescent="0.25">
      <c r="A177" s="1">
        <v>44477</v>
      </c>
      <c r="B177">
        <v>2021</v>
      </c>
      <c r="C177" t="s">
        <v>9</v>
      </c>
      <c r="D177" t="s">
        <v>8</v>
      </c>
      <c r="E177">
        <v>14300</v>
      </c>
      <c r="F177" s="2">
        <v>457600</v>
      </c>
      <c r="G177" s="2">
        <v>357500</v>
      </c>
      <c r="H177" s="2">
        <f t="shared" si="4"/>
        <v>100100</v>
      </c>
      <c r="I177" s="2">
        <f t="shared" si="5"/>
        <v>32</v>
      </c>
    </row>
    <row r="178" spans="1:9" x14ac:dyDescent="0.25">
      <c r="A178" s="1">
        <v>44757</v>
      </c>
      <c r="B178">
        <v>2022</v>
      </c>
      <c r="C178" t="s">
        <v>16</v>
      </c>
      <c r="D178" t="s">
        <v>8</v>
      </c>
      <c r="E178">
        <v>22533</v>
      </c>
      <c r="F178" s="2">
        <v>766122</v>
      </c>
      <c r="G178" s="2">
        <v>540792</v>
      </c>
      <c r="H178" s="2">
        <f t="shared" si="4"/>
        <v>225330</v>
      </c>
      <c r="I178" s="2">
        <f t="shared" si="5"/>
        <v>34</v>
      </c>
    </row>
    <row r="179" spans="1:9" x14ac:dyDescent="0.25">
      <c r="A179" s="1">
        <v>45827</v>
      </c>
      <c r="B179">
        <v>2025</v>
      </c>
      <c r="C179" t="s">
        <v>9</v>
      </c>
      <c r="D179" t="s">
        <v>14</v>
      </c>
      <c r="E179">
        <v>26076</v>
      </c>
      <c r="F179" s="2">
        <v>964812</v>
      </c>
      <c r="G179" s="2">
        <v>547596</v>
      </c>
      <c r="H179" s="2">
        <f t="shared" si="4"/>
        <v>417216</v>
      </c>
      <c r="I179" s="2">
        <f t="shared" si="5"/>
        <v>37</v>
      </c>
    </row>
    <row r="180" spans="1:9" x14ac:dyDescent="0.25">
      <c r="A180" s="1">
        <v>44525</v>
      </c>
      <c r="B180">
        <v>2021</v>
      </c>
      <c r="C180" t="s">
        <v>11</v>
      </c>
      <c r="D180" t="s">
        <v>13</v>
      </c>
      <c r="E180">
        <v>18216</v>
      </c>
      <c r="F180" s="2">
        <v>746856</v>
      </c>
      <c r="G180" s="2">
        <v>400752</v>
      </c>
      <c r="H180" s="2">
        <f t="shared" si="4"/>
        <v>346104</v>
      </c>
      <c r="I180" s="2">
        <f t="shared" si="5"/>
        <v>41</v>
      </c>
    </row>
    <row r="181" spans="1:9" x14ac:dyDescent="0.25">
      <c r="A181" s="1">
        <v>44931</v>
      </c>
      <c r="B181">
        <v>2023</v>
      </c>
      <c r="C181" t="s">
        <v>11</v>
      </c>
      <c r="D181" t="s">
        <v>14</v>
      </c>
      <c r="E181">
        <v>17825</v>
      </c>
      <c r="F181" s="2">
        <v>766475</v>
      </c>
      <c r="G181" s="2">
        <v>285200</v>
      </c>
      <c r="H181" s="2">
        <f t="shared" si="4"/>
        <v>481275</v>
      </c>
      <c r="I181" s="2">
        <f t="shared" si="5"/>
        <v>43</v>
      </c>
    </row>
    <row r="182" spans="1:9" x14ac:dyDescent="0.25">
      <c r="A182" s="1">
        <v>45253</v>
      </c>
      <c r="B182">
        <v>2023</v>
      </c>
      <c r="C182" t="s">
        <v>17</v>
      </c>
      <c r="D182" t="s">
        <v>14</v>
      </c>
      <c r="E182">
        <v>21495</v>
      </c>
      <c r="F182" s="2">
        <v>623355</v>
      </c>
      <c r="G182" s="2">
        <v>601860</v>
      </c>
      <c r="H182" s="2">
        <f t="shared" si="4"/>
        <v>21495</v>
      </c>
      <c r="I182" s="2">
        <f t="shared" si="5"/>
        <v>29</v>
      </c>
    </row>
    <row r="183" spans="1:9" x14ac:dyDescent="0.25">
      <c r="A183" s="1">
        <v>45517</v>
      </c>
      <c r="B183">
        <v>2024</v>
      </c>
      <c r="C183" t="s">
        <v>9</v>
      </c>
      <c r="D183" t="s">
        <v>12</v>
      </c>
      <c r="E183">
        <v>17954</v>
      </c>
      <c r="F183" s="2">
        <v>412942</v>
      </c>
      <c r="G183" s="2">
        <v>502712</v>
      </c>
      <c r="H183" s="2">
        <f t="shared" si="4"/>
        <v>-89770</v>
      </c>
      <c r="I183" s="2">
        <f t="shared" si="5"/>
        <v>23</v>
      </c>
    </row>
    <row r="184" spans="1:9" x14ac:dyDescent="0.25">
      <c r="A184" s="1">
        <v>45658</v>
      </c>
      <c r="B184">
        <v>2025</v>
      </c>
      <c r="C184" t="s">
        <v>11</v>
      </c>
      <c r="D184" t="s">
        <v>8</v>
      </c>
      <c r="E184">
        <v>5477</v>
      </c>
      <c r="F184" s="2">
        <v>208126</v>
      </c>
      <c r="G184" s="2">
        <v>87632</v>
      </c>
      <c r="H184" s="2">
        <f t="shared" si="4"/>
        <v>120494</v>
      </c>
      <c r="I184" s="2">
        <f t="shared" si="5"/>
        <v>38</v>
      </c>
    </row>
    <row r="185" spans="1:9" x14ac:dyDescent="0.25">
      <c r="A185" s="1">
        <v>45598</v>
      </c>
      <c r="B185">
        <v>2024</v>
      </c>
      <c r="C185" t="s">
        <v>17</v>
      </c>
      <c r="D185" t="s">
        <v>12</v>
      </c>
      <c r="E185">
        <v>29282</v>
      </c>
      <c r="F185" s="2">
        <v>849178</v>
      </c>
      <c r="G185" s="2">
        <v>702768</v>
      </c>
      <c r="H185" s="2">
        <f t="shared" si="4"/>
        <v>146410</v>
      </c>
      <c r="I185" s="2">
        <f t="shared" si="5"/>
        <v>29</v>
      </c>
    </row>
    <row r="186" spans="1:9" x14ac:dyDescent="0.25">
      <c r="A186" s="1">
        <v>45146</v>
      </c>
      <c r="B186">
        <v>2023</v>
      </c>
      <c r="C186" t="s">
        <v>7</v>
      </c>
      <c r="D186" t="s">
        <v>10</v>
      </c>
      <c r="E186">
        <v>22511</v>
      </c>
      <c r="F186" s="2">
        <v>765374</v>
      </c>
      <c r="G186" s="2">
        <v>630308</v>
      </c>
      <c r="H186" s="2">
        <f t="shared" si="4"/>
        <v>135066</v>
      </c>
      <c r="I186" s="2">
        <f t="shared" si="5"/>
        <v>34</v>
      </c>
    </row>
    <row r="187" spans="1:9" x14ac:dyDescent="0.25">
      <c r="A187" s="1">
        <v>45465</v>
      </c>
      <c r="B187">
        <v>2024</v>
      </c>
      <c r="C187" t="s">
        <v>15</v>
      </c>
      <c r="D187" t="s">
        <v>13</v>
      </c>
      <c r="E187">
        <v>28945</v>
      </c>
      <c r="F187" s="2">
        <v>694680</v>
      </c>
      <c r="G187" s="2">
        <v>694680</v>
      </c>
      <c r="H187" s="2">
        <f t="shared" si="4"/>
        <v>0</v>
      </c>
      <c r="I187" s="2">
        <f t="shared" si="5"/>
        <v>24</v>
      </c>
    </row>
    <row r="188" spans="1:9" x14ac:dyDescent="0.25">
      <c r="A188" s="1">
        <v>45196</v>
      </c>
      <c r="B188">
        <v>2023</v>
      </c>
      <c r="C188" t="s">
        <v>11</v>
      </c>
      <c r="D188" t="s">
        <v>14</v>
      </c>
      <c r="E188">
        <v>23879</v>
      </c>
      <c r="F188" s="2">
        <v>573096</v>
      </c>
      <c r="G188" s="2">
        <v>334306</v>
      </c>
      <c r="H188" s="2">
        <f t="shared" si="4"/>
        <v>238790</v>
      </c>
      <c r="I188" s="2">
        <f t="shared" si="5"/>
        <v>24</v>
      </c>
    </row>
    <row r="189" spans="1:9" x14ac:dyDescent="0.25">
      <c r="A189" s="1">
        <v>45339</v>
      </c>
      <c r="B189">
        <v>2024</v>
      </c>
      <c r="C189" t="s">
        <v>11</v>
      </c>
      <c r="D189" t="s">
        <v>10</v>
      </c>
      <c r="E189">
        <v>26902</v>
      </c>
      <c r="F189" s="2">
        <v>1156786</v>
      </c>
      <c r="G189" s="2">
        <v>457334</v>
      </c>
      <c r="H189" s="2">
        <f t="shared" si="4"/>
        <v>699452</v>
      </c>
      <c r="I189" s="2">
        <f t="shared" si="5"/>
        <v>43</v>
      </c>
    </row>
    <row r="190" spans="1:9" x14ac:dyDescent="0.25">
      <c r="A190" s="1">
        <v>45452</v>
      </c>
      <c r="B190">
        <v>2024</v>
      </c>
      <c r="C190" t="s">
        <v>11</v>
      </c>
      <c r="D190" t="s">
        <v>12</v>
      </c>
      <c r="E190">
        <v>29909</v>
      </c>
      <c r="F190" s="2">
        <v>598180</v>
      </c>
      <c r="G190" s="2">
        <v>358908</v>
      </c>
      <c r="H190" s="2">
        <f t="shared" si="4"/>
        <v>239272</v>
      </c>
      <c r="I190" s="2">
        <f t="shared" si="5"/>
        <v>20</v>
      </c>
    </row>
    <row r="191" spans="1:9" x14ac:dyDescent="0.25">
      <c r="A191" s="1">
        <v>44677</v>
      </c>
      <c r="B191">
        <v>2022</v>
      </c>
      <c r="C191" t="s">
        <v>16</v>
      </c>
      <c r="D191" t="s">
        <v>14</v>
      </c>
      <c r="E191">
        <v>22568</v>
      </c>
      <c r="F191" s="2">
        <v>677040</v>
      </c>
      <c r="G191" s="2">
        <v>315952</v>
      </c>
      <c r="H191" s="2">
        <f t="shared" si="4"/>
        <v>361088</v>
      </c>
      <c r="I191" s="2">
        <f t="shared" si="5"/>
        <v>30</v>
      </c>
    </row>
    <row r="192" spans="1:9" x14ac:dyDescent="0.25">
      <c r="A192" s="1">
        <v>45853</v>
      </c>
      <c r="B192">
        <v>2025</v>
      </c>
      <c r="C192" t="s">
        <v>11</v>
      </c>
      <c r="D192" t="s">
        <v>10</v>
      </c>
      <c r="E192">
        <v>11895</v>
      </c>
      <c r="F192" s="2">
        <v>309270</v>
      </c>
      <c r="G192" s="2">
        <v>309270</v>
      </c>
      <c r="H192" s="2">
        <f t="shared" si="4"/>
        <v>0</v>
      </c>
      <c r="I192" s="2">
        <f t="shared" si="5"/>
        <v>26</v>
      </c>
    </row>
    <row r="193" spans="1:9" x14ac:dyDescent="0.25">
      <c r="A193" s="1">
        <v>44302</v>
      </c>
      <c r="B193">
        <v>2021</v>
      </c>
      <c r="C193" t="s">
        <v>9</v>
      </c>
      <c r="D193" t="s">
        <v>12</v>
      </c>
      <c r="E193">
        <v>11813</v>
      </c>
      <c r="F193" s="2">
        <v>472520</v>
      </c>
      <c r="G193" s="2">
        <v>283512</v>
      </c>
      <c r="H193" s="2">
        <f t="shared" si="4"/>
        <v>189008</v>
      </c>
      <c r="I193" s="2">
        <f t="shared" si="5"/>
        <v>40</v>
      </c>
    </row>
    <row r="194" spans="1:9" x14ac:dyDescent="0.25">
      <c r="A194" s="1">
        <v>45390</v>
      </c>
      <c r="B194">
        <v>2024</v>
      </c>
      <c r="C194" t="s">
        <v>11</v>
      </c>
      <c r="D194" t="s">
        <v>14</v>
      </c>
      <c r="E194">
        <v>29569</v>
      </c>
      <c r="F194" s="2">
        <v>1064484</v>
      </c>
      <c r="G194" s="2">
        <v>709656</v>
      </c>
      <c r="H194" s="2">
        <f t="shared" si="4"/>
        <v>354828</v>
      </c>
      <c r="I194" s="2">
        <f t="shared" si="5"/>
        <v>36</v>
      </c>
    </row>
    <row r="195" spans="1:9" x14ac:dyDescent="0.25">
      <c r="A195" s="1">
        <v>45527</v>
      </c>
      <c r="B195">
        <v>2024</v>
      </c>
      <c r="C195" t="s">
        <v>16</v>
      </c>
      <c r="D195" t="s">
        <v>12</v>
      </c>
      <c r="E195">
        <v>12579</v>
      </c>
      <c r="F195" s="2">
        <v>314475</v>
      </c>
      <c r="G195" s="2">
        <v>301896</v>
      </c>
      <c r="H195" s="2">
        <f t="shared" ref="H195:H258" si="6">F195-G195</f>
        <v>12579</v>
      </c>
      <c r="I195" s="2">
        <f t="shared" ref="I195:I258" si="7">F195/E195</f>
        <v>25</v>
      </c>
    </row>
    <row r="196" spans="1:9" x14ac:dyDescent="0.25">
      <c r="A196" s="1">
        <v>44257</v>
      </c>
      <c r="B196">
        <v>2021</v>
      </c>
      <c r="C196" t="s">
        <v>11</v>
      </c>
      <c r="D196" t="s">
        <v>8</v>
      </c>
      <c r="E196">
        <v>25839</v>
      </c>
      <c r="F196" s="2">
        <v>801009</v>
      </c>
      <c r="G196" s="2">
        <v>439263</v>
      </c>
      <c r="H196" s="2">
        <f t="shared" si="6"/>
        <v>361746</v>
      </c>
      <c r="I196" s="2">
        <f t="shared" si="7"/>
        <v>31</v>
      </c>
    </row>
    <row r="197" spans="1:9" x14ac:dyDescent="0.25">
      <c r="A197" s="1">
        <v>44220</v>
      </c>
      <c r="B197">
        <v>2021</v>
      </c>
      <c r="C197" t="s">
        <v>17</v>
      </c>
      <c r="D197" t="s">
        <v>8</v>
      </c>
      <c r="E197">
        <v>18068</v>
      </c>
      <c r="F197" s="2">
        <v>668516</v>
      </c>
      <c r="G197" s="2">
        <v>487836</v>
      </c>
      <c r="H197" s="2">
        <f t="shared" si="6"/>
        <v>180680</v>
      </c>
      <c r="I197" s="2">
        <f t="shared" si="7"/>
        <v>37</v>
      </c>
    </row>
    <row r="198" spans="1:9" x14ac:dyDescent="0.25">
      <c r="A198" s="1">
        <v>45037</v>
      </c>
      <c r="B198">
        <v>2023</v>
      </c>
      <c r="C198" t="s">
        <v>17</v>
      </c>
      <c r="D198" t="s">
        <v>12</v>
      </c>
      <c r="E198">
        <v>24546</v>
      </c>
      <c r="F198" s="2">
        <v>1104570</v>
      </c>
      <c r="G198" s="2">
        <v>417282</v>
      </c>
      <c r="H198" s="2">
        <f t="shared" si="6"/>
        <v>687288</v>
      </c>
      <c r="I198" s="2">
        <f t="shared" si="7"/>
        <v>45</v>
      </c>
    </row>
    <row r="199" spans="1:9" x14ac:dyDescent="0.25">
      <c r="A199" s="1">
        <v>45644</v>
      </c>
      <c r="B199">
        <v>2024</v>
      </c>
      <c r="C199" t="s">
        <v>16</v>
      </c>
      <c r="D199" t="s">
        <v>8</v>
      </c>
      <c r="E199">
        <v>11104</v>
      </c>
      <c r="F199" s="2">
        <v>377536</v>
      </c>
      <c r="G199" s="2">
        <v>144352</v>
      </c>
      <c r="H199" s="2">
        <f t="shared" si="6"/>
        <v>233184</v>
      </c>
      <c r="I199" s="2">
        <f t="shared" si="7"/>
        <v>34</v>
      </c>
    </row>
    <row r="200" spans="1:9" x14ac:dyDescent="0.25">
      <c r="A200" s="1">
        <v>44874</v>
      </c>
      <c r="B200">
        <v>2022</v>
      </c>
      <c r="C200" t="s">
        <v>15</v>
      </c>
      <c r="D200" t="s">
        <v>14</v>
      </c>
      <c r="E200">
        <v>11180</v>
      </c>
      <c r="F200" s="2">
        <v>268320</v>
      </c>
      <c r="G200" s="2">
        <v>134160</v>
      </c>
      <c r="H200" s="2">
        <f t="shared" si="6"/>
        <v>134160</v>
      </c>
      <c r="I200" s="2">
        <f t="shared" si="7"/>
        <v>24</v>
      </c>
    </row>
    <row r="201" spans="1:9" x14ac:dyDescent="0.25">
      <c r="A201" s="1">
        <v>45905</v>
      </c>
      <c r="B201">
        <v>2025</v>
      </c>
      <c r="C201" t="s">
        <v>7</v>
      </c>
      <c r="D201" t="s">
        <v>10</v>
      </c>
      <c r="E201">
        <v>14080</v>
      </c>
      <c r="F201" s="2">
        <v>394240</v>
      </c>
      <c r="G201" s="2">
        <v>211200</v>
      </c>
      <c r="H201" s="2">
        <f t="shared" si="6"/>
        <v>183040</v>
      </c>
      <c r="I201" s="2">
        <f t="shared" si="7"/>
        <v>28</v>
      </c>
    </row>
    <row r="202" spans="1:9" x14ac:dyDescent="0.25">
      <c r="A202" s="1">
        <v>44327</v>
      </c>
      <c r="B202">
        <v>2021</v>
      </c>
      <c r="C202" t="s">
        <v>11</v>
      </c>
      <c r="D202" t="s">
        <v>12</v>
      </c>
      <c r="E202">
        <v>10975</v>
      </c>
      <c r="F202" s="2">
        <v>230475</v>
      </c>
      <c r="G202" s="2">
        <v>219500</v>
      </c>
      <c r="H202" s="2">
        <f t="shared" si="6"/>
        <v>10975</v>
      </c>
      <c r="I202" s="2">
        <f t="shared" si="7"/>
        <v>21</v>
      </c>
    </row>
    <row r="203" spans="1:9" x14ac:dyDescent="0.25">
      <c r="A203" s="1">
        <v>45194</v>
      </c>
      <c r="B203">
        <v>2023</v>
      </c>
      <c r="C203" t="s">
        <v>11</v>
      </c>
      <c r="D203" t="s">
        <v>8</v>
      </c>
      <c r="E203">
        <v>22553</v>
      </c>
      <c r="F203" s="2">
        <v>879567</v>
      </c>
      <c r="G203" s="2">
        <v>631484</v>
      </c>
      <c r="H203" s="2">
        <f t="shared" si="6"/>
        <v>248083</v>
      </c>
      <c r="I203" s="2">
        <f t="shared" si="7"/>
        <v>39</v>
      </c>
    </row>
    <row r="204" spans="1:9" x14ac:dyDescent="0.25">
      <c r="A204" s="1">
        <v>44882</v>
      </c>
      <c r="B204">
        <v>2022</v>
      </c>
      <c r="C204" t="s">
        <v>16</v>
      </c>
      <c r="D204" t="s">
        <v>10</v>
      </c>
      <c r="E204">
        <v>7300</v>
      </c>
      <c r="F204" s="2">
        <v>146000</v>
      </c>
      <c r="G204" s="2">
        <v>109500</v>
      </c>
      <c r="H204" s="2">
        <f t="shared" si="6"/>
        <v>36500</v>
      </c>
      <c r="I204" s="2">
        <f t="shared" si="7"/>
        <v>20</v>
      </c>
    </row>
    <row r="205" spans="1:9" x14ac:dyDescent="0.25">
      <c r="A205" s="1">
        <v>45630</v>
      </c>
      <c r="B205">
        <v>2024</v>
      </c>
      <c r="C205" t="s">
        <v>9</v>
      </c>
      <c r="D205" t="s">
        <v>8</v>
      </c>
      <c r="E205">
        <v>13846</v>
      </c>
      <c r="F205" s="2">
        <v>595378</v>
      </c>
      <c r="G205" s="2">
        <v>304612</v>
      </c>
      <c r="H205" s="2">
        <f t="shared" si="6"/>
        <v>290766</v>
      </c>
      <c r="I205" s="2">
        <f t="shared" si="7"/>
        <v>43</v>
      </c>
    </row>
    <row r="206" spans="1:9" x14ac:dyDescent="0.25">
      <c r="A206" s="1">
        <v>45679</v>
      </c>
      <c r="B206">
        <v>2025</v>
      </c>
      <c r="C206" t="s">
        <v>16</v>
      </c>
      <c r="D206" t="s">
        <v>10</v>
      </c>
      <c r="E206">
        <v>28854</v>
      </c>
      <c r="F206" s="2">
        <v>1067598</v>
      </c>
      <c r="G206" s="2">
        <v>375102</v>
      </c>
      <c r="H206" s="2">
        <f t="shared" si="6"/>
        <v>692496</v>
      </c>
      <c r="I206" s="2">
        <f t="shared" si="7"/>
        <v>37</v>
      </c>
    </row>
    <row r="207" spans="1:9" x14ac:dyDescent="0.25">
      <c r="A207" s="1">
        <v>44759</v>
      </c>
      <c r="B207">
        <v>2022</v>
      </c>
      <c r="C207" t="s">
        <v>16</v>
      </c>
      <c r="D207" t="s">
        <v>8</v>
      </c>
      <c r="E207">
        <v>10804</v>
      </c>
      <c r="F207" s="2">
        <v>432160</v>
      </c>
      <c r="G207" s="2">
        <v>140452</v>
      </c>
      <c r="H207" s="2">
        <f t="shared" si="6"/>
        <v>291708</v>
      </c>
      <c r="I207" s="2">
        <f t="shared" si="7"/>
        <v>40</v>
      </c>
    </row>
    <row r="208" spans="1:9" x14ac:dyDescent="0.25">
      <c r="A208" s="1">
        <v>44732</v>
      </c>
      <c r="B208">
        <v>2022</v>
      </c>
      <c r="C208" t="s">
        <v>7</v>
      </c>
      <c r="D208" t="s">
        <v>14</v>
      </c>
      <c r="E208">
        <v>15917</v>
      </c>
      <c r="F208" s="2">
        <v>445676</v>
      </c>
      <c r="G208" s="2">
        <v>382008</v>
      </c>
      <c r="H208" s="2">
        <f t="shared" si="6"/>
        <v>63668</v>
      </c>
      <c r="I208" s="2">
        <f t="shared" si="7"/>
        <v>28</v>
      </c>
    </row>
    <row r="209" spans="1:9" x14ac:dyDescent="0.25">
      <c r="A209" s="1">
        <v>45592</v>
      </c>
      <c r="B209">
        <v>2024</v>
      </c>
      <c r="C209" t="s">
        <v>7</v>
      </c>
      <c r="D209" t="s">
        <v>10</v>
      </c>
      <c r="E209">
        <v>5954</v>
      </c>
      <c r="F209" s="2">
        <v>267930</v>
      </c>
      <c r="G209" s="2">
        <v>160758</v>
      </c>
      <c r="H209" s="2">
        <f t="shared" si="6"/>
        <v>107172</v>
      </c>
      <c r="I209" s="2">
        <f t="shared" si="7"/>
        <v>45</v>
      </c>
    </row>
    <row r="210" spans="1:9" x14ac:dyDescent="0.25">
      <c r="A210" s="1">
        <v>45634</v>
      </c>
      <c r="B210">
        <v>2024</v>
      </c>
      <c r="C210" t="s">
        <v>15</v>
      </c>
      <c r="D210" t="s">
        <v>8</v>
      </c>
      <c r="E210">
        <v>5703</v>
      </c>
      <c r="F210" s="2">
        <v>228120</v>
      </c>
      <c r="G210" s="2">
        <v>159684</v>
      </c>
      <c r="H210" s="2">
        <f t="shared" si="6"/>
        <v>68436</v>
      </c>
      <c r="I210" s="2">
        <f t="shared" si="7"/>
        <v>40</v>
      </c>
    </row>
    <row r="211" spans="1:9" x14ac:dyDescent="0.25">
      <c r="A211" s="1">
        <v>45755</v>
      </c>
      <c r="B211">
        <v>2025</v>
      </c>
      <c r="C211" t="s">
        <v>11</v>
      </c>
      <c r="D211" t="s">
        <v>13</v>
      </c>
      <c r="E211">
        <v>11345</v>
      </c>
      <c r="F211" s="2">
        <v>329005</v>
      </c>
      <c r="G211" s="2">
        <v>294970</v>
      </c>
      <c r="H211" s="2">
        <f t="shared" si="6"/>
        <v>34035</v>
      </c>
      <c r="I211" s="2">
        <f t="shared" si="7"/>
        <v>29</v>
      </c>
    </row>
    <row r="212" spans="1:9" x14ac:dyDescent="0.25">
      <c r="A212" s="1">
        <v>45603</v>
      </c>
      <c r="B212">
        <v>2024</v>
      </c>
      <c r="C212" t="s">
        <v>9</v>
      </c>
      <c r="D212" t="s">
        <v>12</v>
      </c>
      <c r="E212">
        <v>6194</v>
      </c>
      <c r="F212" s="2">
        <v>247760</v>
      </c>
      <c r="G212" s="2">
        <v>105298</v>
      </c>
      <c r="H212" s="2">
        <f t="shared" si="6"/>
        <v>142462</v>
      </c>
      <c r="I212" s="2">
        <f t="shared" si="7"/>
        <v>40</v>
      </c>
    </row>
    <row r="213" spans="1:9" x14ac:dyDescent="0.25">
      <c r="A213" s="1">
        <v>44935</v>
      </c>
      <c r="B213">
        <v>2023</v>
      </c>
      <c r="C213" t="s">
        <v>9</v>
      </c>
      <c r="D213" t="s">
        <v>14</v>
      </c>
      <c r="E213">
        <v>22305</v>
      </c>
      <c r="F213" s="2">
        <v>602235</v>
      </c>
      <c r="G213" s="2">
        <v>624540</v>
      </c>
      <c r="H213" s="2">
        <f t="shared" si="6"/>
        <v>-22305</v>
      </c>
      <c r="I213" s="2">
        <f t="shared" si="7"/>
        <v>27</v>
      </c>
    </row>
    <row r="214" spans="1:9" x14ac:dyDescent="0.25">
      <c r="A214" s="1">
        <v>45677</v>
      </c>
      <c r="B214">
        <v>2025</v>
      </c>
      <c r="C214" t="s">
        <v>11</v>
      </c>
      <c r="D214" t="s">
        <v>10</v>
      </c>
      <c r="E214">
        <v>12853</v>
      </c>
      <c r="F214" s="2">
        <v>347031</v>
      </c>
      <c r="G214" s="2">
        <v>359884</v>
      </c>
      <c r="H214" s="2">
        <f t="shared" si="6"/>
        <v>-12853</v>
      </c>
      <c r="I214" s="2">
        <f t="shared" si="7"/>
        <v>27</v>
      </c>
    </row>
    <row r="215" spans="1:9" x14ac:dyDescent="0.25">
      <c r="A215" s="1">
        <v>45531</v>
      </c>
      <c r="B215">
        <v>2024</v>
      </c>
      <c r="C215" t="s">
        <v>7</v>
      </c>
      <c r="D215" t="s">
        <v>13</v>
      </c>
      <c r="E215">
        <v>19143</v>
      </c>
      <c r="F215" s="2">
        <v>746577</v>
      </c>
      <c r="G215" s="2">
        <v>344574</v>
      </c>
      <c r="H215" s="2">
        <f t="shared" si="6"/>
        <v>402003</v>
      </c>
      <c r="I215" s="2">
        <f t="shared" si="7"/>
        <v>39</v>
      </c>
    </row>
    <row r="216" spans="1:9" x14ac:dyDescent="0.25">
      <c r="A216" s="1">
        <v>45040</v>
      </c>
      <c r="B216">
        <v>2023</v>
      </c>
      <c r="C216" t="s">
        <v>11</v>
      </c>
      <c r="D216" t="s">
        <v>13</v>
      </c>
      <c r="E216">
        <v>20594</v>
      </c>
      <c r="F216" s="2">
        <v>926730</v>
      </c>
      <c r="G216" s="2">
        <v>473662</v>
      </c>
      <c r="H216" s="2">
        <f t="shared" si="6"/>
        <v>453068</v>
      </c>
      <c r="I216" s="2">
        <f t="shared" si="7"/>
        <v>45</v>
      </c>
    </row>
    <row r="217" spans="1:9" x14ac:dyDescent="0.25">
      <c r="A217" s="1">
        <v>44838</v>
      </c>
      <c r="B217">
        <v>2022</v>
      </c>
      <c r="C217" t="s">
        <v>11</v>
      </c>
      <c r="D217" t="s">
        <v>13</v>
      </c>
      <c r="E217">
        <v>20013</v>
      </c>
      <c r="F217" s="2">
        <v>680442</v>
      </c>
      <c r="G217" s="2">
        <v>440286</v>
      </c>
      <c r="H217" s="2">
        <f t="shared" si="6"/>
        <v>240156</v>
      </c>
      <c r="I217" s="2">
        <f t="shared" si="7"/>
        <v>34</v>
      </c>
    </row>
    <row r="218" spans="1:9" x14ac:dyDescent="0.25">
      <c r="A218" s="1">
        <v>45099</v>
      </c>
      <c r="B218">
        <v>2023</v>
      </c>
      <c r="C218" t="s">
        <v>9</v>
      </c>
      <c r="D218" t="s">
        <v>13</v>
      </c>
      <c r="E218">
        <v>14209</v>
      </c>
      <c r="F218" s="2">
        <v>483106</v>
      </c>
      <c r="G218" s="2">
        <v>341016</v>
      </c>
      <c r="H218" s="2">
        <f t="shared" si="6"/>
        <v>142090</v>
      </c>
      <c r="I218" s="2">
        <f t="shared" si="7"/>
        <v>34</v>
      </c>
    </row>
    <row r="219" spans="1:9" x14ac:dyDescent="0.25">
      <c r="A219" s="1">
        <v>46018</v>
      </c>
      <c r="B219">
        <v>2025</v>
      </c>
      <c r="C219" t="s">
        <v>7</v>
      </c>
      <c r="D219" t="s">
        <v>12</v>
      </c>
      <c r="E219">
        <v>6763</v>
      </c>
      <c r="F219" s="2">
        <v>216416</v>
      </c>
      <c r="G219" s="2">
        <v>162312</v>
      </c>
      <c r="H219" s="2">
        <f t="shared" si="6"/>
        <v>54104</v>
      </c>
      <c r="I219" s="2">
        <f t="shared" si="7"/>
        <v>32</v>
      </c>
    </row>
    <row r="220" spans="1:9" x14ac:dyDescent="0.25">
      <c r="A220" s="1">
        <v>44567</v>
      </c>
      <c r="B220">
        <v>2022</v>
      </c>
      <c r="C220" t="s">
        <v>7</v>
      </c>
      <c r="D220" t="s">
        <v>8</v>
      </c>
      <c r="E220">
        <v>29078</v>
      </c>
      <c r="F220" s="2">
        <v>872340</v>
      </c>
      <c r="G220" s="2">
        <v>639716</v>
      </c>
      <c r="H220" s="2">
        <f t="shared" si="6"/>
        <v>232624</v>
      </c>
      <c r="I220" s="2">
        <f t="shared" si="7"/>
        <v>30</v>
      </c>
    </row>
    <row r="221" spans="1:9" x14ac:dyDescent="0.25">
      <c r="A221" s="1">
        <v>45689</v>
      </c>
      <c r="B221">
        <v>2025</v>
      </c>
      <c r="C221" t="s">
        <v>7</v>
      </c>
      <c r="D221" t="s">
        <v>10</v>
      </c>
      <c r="E221">
        <v>20259</v>
      </c>
      <c r="F221" s="2">
        <v>769842</v>
      </c>
      <c r="G221" s="2">
        <v>344403</v>
      </c>
      <c r="H221" s="2">
        <f t="shared" si="6"/>
        <v>425439</v>
      </c>
      <c r="I221" s="2">
        <f t="shared" si="7"/>
        <v>38</v>
      </c>
    </row>
    <row r="222" spans="1:9" x14ac:dyDescent="0.25">
      <c r="A222" s="1">
        <v>45613</v>
      </c>
      <c r="B222">
        <v>2024</v>
      </c>
      <c r="C222" t="s">
        <v>9</v>
      </c>
      <c r="D222" t="s">
        <v>12</v>
      </c>
      <c r="E222">
        <v>21551</v>
      </c>
      <c r="F222" s="2">
        <v>689632</v>
      </c>
      <c r="G222" s="2">
        <v>474122</v>
      </c>
      <c r="H222" s="2">
        <f t="shared" si="6"/>
        <v>215510</v>
      </c>
      <c r="I222" s="2">
        <f t="shared" si="7"/>
        <v>32</v>
      </c>
    </row>
    <row r="223" spans="1:9" x14ac:dyDescent="0.25">
      <c r="A223" s="1">
        <v>45078</v>
      </c>
      <c r="B223">
        <v>2023</v>
      </c>
      <c r="C223" t="s">
        <v>16</v>
      </c>
      <c r="D223" t="s">
        <v>8</v>
      </c>
      <c r="E223">
        <v>13326</v>
      </c>
      <c r="F223" s="2">
        <v>333150</v>
      </c>
      <c r="G223" s="2">
        <v>279846</v>
      </c>
      <c r="H223" s="2">
        <f t="shared" si="6"/>
        <v>53304</v>
      </c>
      <c r="I223" s="2">
        <f t="shared" si="7"/>
        <v>25</v>
      </c>
    </row>
    <row r="224" spans="1:9" x14ac:dyDescent="0.25">
      <c r="A224" s="1">
        <v>44706</v>
      </c>
      <c r="B224">
        <v>2022</v>
      </c>
      <c r="C224" t="s">
        <v>15</v>
      </c>
      <c r="D224" t="s">
        <v>12</v>
      </c>
      <c r="E224">
        <v>16858</v>
      </c>
      <c r="F224" s="2">
        <v>758610</v>
      </c>
      <c r="G224" s="2">
        <v>236012</v>
      </c>
      <c r="H224" s="2">
        <f t="shared" si="6"/>
        <v>522598</v>
      </c>
      <c r="I224" s="2">
        <f t="shared" si="7"/>
        <v>45</v>
      </c>
    </row>
    <row r="225" spans="1:9" x14ac:dyDescent="0.25">
      <c r="A225" s="1">
        <v>45160</v>
      </c>
      <c r="B225">
        <v>2023</v>
      </c>
      <c r="C225" t="s">
        <v>17</v>
      </c>
      <c r="D225" t="s">
        <v>13</v>
      </c>
      <c r="E225">
        <v>20607</v>
      </c>
      <c r="F225" s="2">
        <v>783066</v>
      </c>
      <c r="G225" s="2">
        <v>576996</v>
      </c>
      <c r="H225" s="2">
        <f t="shared" si="6"/>
        <v>206070</v>
      </c>
      <c r="I225" s="2">
        <f t="shared" si="7"/>
        <v>38</v>
      </c>
    </row>
    <row r="226" spans="1:9" x14ac:dyDescent="0.25">
      <c r="A226" s="1">
        <v>44720</v>
      </c>
      <c r="B226">
        <v>2022</v>
      </c>
      <c r="C226" t="s">
        <v>17</v>
      </c>
      <c r="D226" t="s">
        <v>12</v>
      </c>
      <c r="E226">
        <v>12841</v>
      </c>
      <c r="F226" s="2">
        <v>321025</v>
      </c>
      <c r="G226" s="2">
        <v>295343</v>
      </c>
      <c r="H226" s="2">
        <f t="shared" si="6"/>
        <v>25682</v>
      </c>
      <c r="I226" s="2">
        <f t="shared" si="7"/>
        <v>25</v>
      </c>
    </row>
    <row r="227" spans="1:9" x14ac:dyDescent="0.25">
      <c r="A227" s="1">
        <v>45755</v>
      </c>
      <c r="B227">
        <v>2025</v>
      </c>
      <c r="C227" t="s">
        <v>17</v>
      </c>
      <c r="D227" t="s">
        <v>12</v>
      </c>
      <c r="E227">
        <v>23280</v>
      </c>
      <c r="F227" s="2">
        <v>488880</v>
      </c>
      <c r="G227" s="2">
        <v>651840</v>
      </c>
      <c r="H227" s="2">
        <f t="shared" si="6"/>
        <v>-162960</v>
      </c>
      <c r="I227" s="2">
        <f t="shared" si="7"/>
        <v>21</v>
      </c>
    </row>
    <row r="228" spans="1:9" x14ac:dyDescent="0.25">
      <c r="A228" s="1">
        <v>45327</v>
      </c>
      <c r="B228">
        <v>2024</v>
      </c>
      <c r="C228" t="s">
        <v>11</v>
      </c>
      <c r="D228" t="s">
        <v>14</v>
      </c>
      <c r="E228">
        <v>10534</v>
      </c>
      <c r="F228" s="2">
        <v>242282</v>
      </c>
      <c r="G228" s="2">
        <v>179078</v>
      </c>
      <c r="H228" s="2">
        <f t="shared" si="6"/>
        <v>63204</v>
      </c>
      <c r="I228" s="2">
        <f t="shared" si="7"/>
        <v>23</v>
      </c>
    </row>
    <row r="229" spans="1:9" x14ac:dyDescent="0.25">
      <c r="A229" s="1">
        <v>45770</v>
      </c>
      <c r="B229">
        <v>2025</v>
      </c>
      <c r="C229" t="s">
        <v>11</v>
      </c>
      <c r="D229" t="s">
        <v>12</v>
      </c>
      <c r="E229">
        <v>28067</v>
      </c>
      <c r="F229" s="2">
        <v>870077</v>
      </c>
      <c r="G229" s="2">
        <v>477139</v>
      </c>
      <c r="H229" s="2">
        <f t="shared" si="6"/>
        <v>392938</v>
      </c>
      <c r="I229" s="2">
        <f t="shared" si="7"/>
        <v>31</v>
      </c>
    </row>
    <row r="230" spans="1:9" x14ac:dyDescent="0.25">
      <c r="A230" s="1">
        <v>44852</v>
      </c>
      <c r="B230">
        <v>2022</v>
      </c>
      <c r="C230" t="s">
        <v>11</v>
      </c>
      <c r="D230" t="s">
        <v>14</v>
      </c>
      <c r="E230">
        <v>5255</v>
      </c>
      <c r="F230" s="2">
        <v>236475</v>
      </c>
      <c r="G230" s="2">
        <v>136630</v>
      </c>
      <c r="H230" s="2">
        <f t="shared" si="6"/>
        <v>99845</v>
      </c>
      <c r="I230" s="2">
        <f t="shared" si="7"/>
        <v>45</v>
      </c>
    </row>
    <row r="231" spans="1:9" x14ac:dyDescent="0.25">
      <c r="A231" s="1">
        <v>44583</v>
      </c>
      <c r="B231">
        <v>2022</v>
      </c>
      <c r="C231" t="s">
        <v>7</v>
      </c>
      <c r="D231" t="s">
        <v>13</v>
      </c>
      <c r="E231">
        <v>7344</v>
      </c>
      <c r="F231" s="2">
        <v>168912</v>
      </c>
      <c r="G231" s="2">
        <v>146880</v>
      </c>
      <c r="H231" s="2">
        <f t="shared" si="6"/>
        <v>22032</v>
      </c>
      <c r="I231" s="2">
        <f t="shared" si="7"/>
        <v>23</v>
      </c>
    </row>
    <row r="232" spans="1:9" x14ac:dyDescent="0.25">
      <c r="A232" s="1">
        <v>44548</v>
      </c>
      <c r="B232">
        <v>2021</v>
      </c>
      <c r="C232" t="s">
        <v>15</v>
      </c>
      <c r="D232" t="s">
        <v>13</v>
      </c>
      <c r="E232">
        <v>18541</v>
      </c>
      <c r="F232" s="2">
        <v>834345</v>
      </c>
      <c r="G232" s="2">
        <v>407902</v>
      </c>
      <c r="H232" s="2">
        <f t="shared" si="6"/>
        <v>426443</v>
      </c>
      <c r="I232" s="2">
        <f t="shared" si="7"/>
        <v>45</v>
      </c>
    </row>
    <row r="233" spans="1:9" x14ac:dyDescent="0.25">
      <c r="A233" s="1">
        <v>45082</v>
      </c>
      <c r="B233">
        <v>2023</v>
      </c>
      <c r="C233" t="s">
        <v>11</v>
      </c>
      <c r="D233" t="s">
        <v>12</v>
      </c>
      <c r="E233">
        <v>28071</v>
      </c>
      <c r="F233" s="2">
        <v>982485</v>
      </c>
      <c r="G233" s="2">
        <v>449136</v>
      </c>
      <c r="H233" s="2">
        <f t="shared" si="6"/>
        <v>533349</v>
      </c>
      <c r="I233" s="2">
        <f t="shared" si="7"/>
        <v>35</v>
      </c>
    </row>
    <row r="234" spans="1:9" x14ac:dyDescent="0.25">
      <c r="A234" s="1">
        <v>45884</v>
      </c>
      <c r="B234">
        <v>2025</v>
      </c>
      <c r="C234" t="s">
        <v>15</v>
      </c>
      <c r="D234" t="s">
        <v>8</v>
      </c>
      <c r="E234">
        <v>26362</v>
      </c>
      <c r="F234" s="2">
        <v>1054480</v>
      </c>
      <c r="G234" s="2">
        <v>632688</v>
      </c>
      <c r="H234" s="2">
        <f t="shared" si="6"/>
        <v>421792</v>
      </c>
      <c r="I234" s="2">
        <f t="shared" si="7"/>
        <v>40</v>
      </c>
    </row>
    <row r="235" spans="1:9" x14ac:dyDescent="0.25">
      <c r="A235" s="1">
        <v>44626</v>
      </c>
      <c r="B235">
        <v>2022</v>
      </c>
      <c r="C235" t="s">
        <v>7</v>
      </c>
      <c r="D235" t="s">
        <v>14</v>
      </c>
      <c r="E235">
        <v>20464</v>
      </c>
      <c r="F235" s="2">
        <v>777632</v>
      </c>
      <c r="G235" s="2">
        <v>286496</v>
      </c>
      <c r="H235" s="2">
        <f t="shared" si="6"/>
        <v>491136</v>
      </c>
      <c r="I235" s="2">
        <f t="shared" si="7"/>
        <v>38</v>
      </c>
    </row>
    <row r="236" spans="1:9" x14ac:dyDescent="0.25">
      <c r="A236" s="1">
        <v>45478</v>
      </c>
      <c r="B236">
        <v>2024</v>
      </c>
      <c r="C236" t="s">
        <v>16</v>
      </c>
      <c r="D236" t="s">
        <v>8</v>
      </c>
      <c r="E236">
        <v>29983</v>
      </c>
      <c r="F236" s="2">
        <v>1049405</v>
      </c>
      <c r="G236" s="2">
        <v>779558</v>
      </c>
      <c r="H236" s="2">
        <f t="shared" si="6"/>
        <v>269847</v>
      </c>
      <c r="I236" s="2">
        <f t="shared" si="7"/>
        <v>35</v>
      </c>
    </row>
    <row r="237" spans="1:9" x14ac:dyDescent="0.25">
      <c r="A237" s="1">
        <v>45195</v>
      </c>
      <c r="B237">
        <v>2023</v>
      </c>
      <c r="C237" t="s">
        <v>16</v>
      </c>
      <c r="D237" t="s">
        <v>8</v>
      </c>
      <c r="E237">
        <v>13510</v>
      </c>
      <c r="F237" s="2">
        <v>391790</v>
      </c>
      <c r="G237" s="2">
        <v>162120</v>
      </c>
      <c r="H237" s="2">
        <f t="shared" si="6"/>
        <v>229670</v>
      </c>
      <c r="I237" s="2">
        <f t="shared" si="7"/>
        <v>29</v>
      </c>
    </row>
    <row r="238" spans="1:9" x14ac:dyDescent="0.25">
      <c r="A238" s="1">
        <v>44279</v>
      </c>
      <c r="B238">
        <v>2021</v>
      </c>
      <c r="C238" t="s">
        <v>17</v>
      </c>
      <c r="D238" t="s">
        <v>10</v>
      </c>
      <c r="E238">
        <v>22242</v>
      </c>
      <c r="F238" s="2">
        <v>711744</v>
      </c>
      <c r="G238" s="2">
        <v>355872</v>
      </c>
      <c r="H238" s="2">
        <f t="shared" si="6"/>
        <v>355872</v>
      </c>
      <c r="I238" s="2">
        <f t="shared" si="7"/>
        <v>32</v>
      </c>
    </row>
    <row r="239" spans="1:9" x14ac:dyDescent="0.25">
      <c r="A239" s="1">
        <v>45782</v>
      </c>
      <c r="B239">
        <v>2025</v>
      </c>
      <c r="C239" t="s">
        <v>16</v>
      </c>
      <c r="D239" t="s">
        <v>12</v>
      </c>
      <c r="E239">
        <v>20129</v>
      </c>
      <c r="F239" s="2">
        <v>422709</v>
      </c>
      <c r="G239" s="2">
        <v>241548</v>
      </c>
      <c r="H239" s="2">
        <f t="shared" si="6"/>
        <v>181161</v>
      </c>
      <c r="I239" s="2">
        <f t="shared" si="7"/>
        <v>21</v>
      </c>
    </row>
    <row r="240" spans="1:9" x14ac:dyDescent="0.25">
      <c r="A240" s="1">
        <v>44544</v>
      </c>
      <c r="B240">
        <v>2021</v>
      </c>
      <c r="C240" t="s">
        <v>7</v>
      </c>
      <c r="D240" t="s">
        <v>10</v>
      </c>
      <c r="E240">
        <v>24330</v>
      </c>
      <c r="F240" s="2">
        <v>486600</v>
      </c>
      <c r="G240" s="2">
        <v>510930</v>
      </c>
      <c r="H240" s="2">
        <f t="shared" si="6"/>
        <v>-24330</v>
      </c>
      <c r="I240" s="2">
        <f t="shared" si="7"/>
        <v>20</v>
      </c>
    </row>
    <row r="241" spans="1:9" x14ac:dyDescent="0.25">
      <c r="A241" s="1">
        <v>45152</v>
      </c>
      <c r="B241">
        <v>2023</v>
      </c>
      <c r="C241" t="s">
        <v>11</v>
      </c>
      <c r="D241" t="s">
        <v>10</v>
      </c>
      <c r="E241">
        <v>21270</v>
      </c>
      <c r="F241" s="2">
        <v>638100</v>
      </c>
      <c r="G241" s="2">
        <v>382860</v>
      </c>
      <c r="H241" s="2">
        <f t="shared" si="6"/>
        <v>255240</v>
      </c>
      <c r="I241" s="2">
        <f t="shared" si="7"/>
        <v>30</v>
      </c>
    </row>
    <row r="242" spans="1:9" x14ac:dyDescent="0.25">
      <c r="A242" s="1">
        <v>45187</v>
      </c>
      <c r="B242">
        <v>2023</v>
      </c>
      <c r="C242" t="s">
        <v>15</v>
      </c>
      <c r="D242" t="s">
        <v>10</v>
      </c>
      <c r="E242">
        <v>22070</v>
      </c>
      <c r="F242" s="2">
        <v>750380</v>
      </c>
      <c r="G242" s="2">
        <v>573820</v>
      </c>
      <c r="H242" s="2">
        <f t="shared" si="6"/>
        <v>176560</v>
      </c>
      <c r="I242" s="2">
        <f t="shared" si="7"/>
        <v>34</v>
      </c>
    </row>
    <row r="243" spans="1:9" x14ac:dyDescent="0.25">
      <c r="A243" s="1">
        <v>45224</v>
      </c>
      <c r="B243">
        <v>2023</v>
      </c>
      <c r="C243" t="s">
        <v>15</v>
      </c>
      <c r="D243" t="s">
        <v>14</v>
      </c>
      <c r="E243">
        <v>27018</v>
      </c>
      <c r="F243" s="2">
        <v>1080720</v>
      </c>
      <c r="G243" s="2">
        <v>540360</v>
      </c>
      <c r="H243" s="2">
        <f t="shared" si="6"/>
        <v>540360</v>
      </c>
      <c r="I243" s="2">
        <f t="shared" si="7"/>
        <v>40</v>
      </c>
    </row>
    <row r="244" spans="1:9" x14ac:dyDescent="0.25">
      <c r="A244" s="1">
        <v>45615</v>
      </c>
      <c r="B244">
        <v>2024</v>
      </c>
      <c r="C244" t="s">
        <v>17</v>
      </c>
      <c r="D244" t="s">
        <v>8</v>
      </c>
      <c r="E244">
        <v>19401</v>
      </c>
      <c r="F244" s="2">
        <v>388020</v>
      </c>
      <c r="G244" s="2">
        <v>232812</v>
      </c>
      <c r="H244" s="2">
        <f t="shared" si="6"/>
        <v>155208</v>
      </c>
      <c r="I244" s="2">
        <f t="shared" si="7"/>
        <v>20</v>
      </c>
    </row>
    <row r="245" spans="1:9" x14ac:dyDescent="0.25">
      <c r="A245" s="1">
        <v>44536</v>
      </c>
      <c r="B245">
        <v>2021</v>
      </c>
      <c r="C245" t="s">
        <v>17</v>
      </c>
      <c r="D245" t="s">
        <v>8</v>
      </c>
      <c r="E245">
        <v>22767</v>
      </c>
      <c r="F245" s="2">
        <v>660243</v>
      </c>
      <c r="G245" s="2">
        <v>455340</v>
      </c>
      <c r="H245" s="2">
        <f t="shared" si="6"/>
        <v>204903</v>
      </c>
      <c r="I245" s="2">
        <f t="shared" si="7"/>
        <v>29</v>
      </c>
    </row>
    <row r="246" spans="1:9" x14ac:dyDescent="0.25">
      <c r="A246" s="1">
        <v>44212</v>
      </c>
      <c r="B246">
        <v>2021</v>
      </c>
      <c r="C246" t="s">
        <v>9</v>
      </c>
      <c r="D246" t="s">
        <v>8</v>
      </c>
      <c r="E246">
        <v>20274</v>
      </c>
      <c r="F246" s="2">
        <v>892056</v>
      </c>
      <c r="G246" s="2">
        <v>364932</v>
      </c>
      <c r="H246" s="2">
        <f t="shared" si="6"/>
        <v>527124</v>
      </c>
      <c r="I246" s="2">
        <f t="shared" si="7"/>
        <v>44</v>
      </c>
    </row>
    <row r="247" spans="1:9" x14ac:dyDescent="0.25">
      <c r="A247" s="1">
        <v>45848</v>
      </c>
      <c r="B247">
        <v>2025</v>
      </c>
      <c r="C247" t="s">
        <v>7</v>
      </c>
      <c r="D247" t="s">
        <v>14</v>
      </c>
      <c r="E247">
        <v>27368</v>
      </c>
      <c r="F247" s="2">
        <v>848408</v>
      </c>
      <c r="G247" s="2">
        <v>766304</v>
      </c>
      <c r="H247" s="2">
        <f t="shared" si="6"/>
        <v>82104</v>
      </c>
      <c r="I247" s="2">
        <f t="shared" si="7"/>
        <v>31</v>
      </c>
    </row>
    <row r="248" spans="1:9" x14ac:dyDescent="0.25">
      <c r="A248" s="1">
        <v>44917</v>
      </c>
      <c r="B248">
        <v>2022</v>
      </c>
      <c r="C248" t="s">
        <v>17</v>
      </c>
      <c r="D248" t="s">
        <v>14</v>
      </c>
      <c r="E248">
        <v>29228</v>
      </c>
      <c r="F248" s="2">
        <v>818384</v>
      </c>
      <c r="G248" s="2">
        <v>555332</v>
      </c>
      <c r="H248" s="2">
        <f t="shared" si="6"/>
        <v>263052</v>
      </c>
      <c r="I248" s="2">
        <f t="shared" si="7"/>
        <v>28</v>
      </c>
    </row>
    <row r="249" spans="1:9" x14ac:dyDescent="0.25">
      <c r="A249" s="1">
        <v>45813</v>
      </c>
      <c r="B249">
        <v>2025</v>
      </c>
      <c r="C249" t="s">
        <v>7</v>
      </c>
      <c r="D249" t="s">
        <v>12</v>
      </c>
      <c r="E249">
        <v>12679</v>
      </c>
      <c r="F249" s="2">
        <v>355012</v>
      </c>
      <c r="G249" s="2">
        <v>316975</v>
      </c>
      <c r="H249" s="2">
        <f t="shared" si="6"/>
        <v>38037</v>
      </c>
      <c r="I249" s="2">
        <f t="shared" si="7"/>
        <v>28</v>
      </c>
    </row>
    <row r="250" spans="1:9" x14ac:dyDescent="0.25">
      <c r="A250" s="1">
        <v>45643</v>
      </c>
      <c r="B250">
        <v>2024</v>
      </c>
      <c r="C250" t="s">
        <v>9</v>
      </c>
      <c r="D250" t="s">
        <v>13</v>
      </c>
      <c r="E250">
        <v>6543</v>
      </c>
      <c r="F250" s="2">
        <v>294435</v>
      </c>
      <c r="G250" s="2">
        <v>104688</v>
      </c>
      <c r="H250" s="2">
        <f t="shared" si="6"/>
        <v>189747</v>
      </c>
      <c r="I250" s="2">
        <f t="shared" si="7"/>
        <v>45</v>
      </c>
    </row>
    <row r="251" spans="1:9" x14ac:dyDescent="0.25">
      <c r="A251" s="1">
        <v>44488</v>
      </c>
      <c r="B251">
        <v>2021</v>
      </c>
      <c r="C251" t="s">
        <v>9</v>
      </c>
      <c r="D251" t="s">
        <v>14</v>
      </c>
      <c r="E251">
        <v>28283</v>
      </c>
      <c r="F251" s="2">
        <v>961622</v>
      </c>
      <c r="G251" s="2">
        <v>452528</v>
      </c>
      <c r="H251" s="2">
        <f t="shared" si="6"/>
        <v>509094</v>
      </c>
      <c r="I251" s="2">
        <f t="shared" si="7"/>
        <v>34</v>
      </c>
    </row>
    <row r="252" spans="1:9" x14ac:dyDescent="0.25">
      <c r="A252" s="1">
        <v>45092</v>
      </c>
      <c r="B252">
        <v>2023</v>
      </c>
      <c r="C252" t="s">
        <v>11</v>
      </c>
      <c r="D252" t="s">
        <v>12</v>
      </c>
      <c r="E252">
        <v>22917</v>
      </c>
      <c r="F252" s="2">
        <v>527091</v>
      </c>
      <c r="G252" s="2">
        <v>412506</v>
      </c>
      <c r="H252" s="2">
        <f t="shared" si="6"/>
        <v>114585</v>
      </c>
      <c r="I252" s="2">
        <f t="shared" si="7"/>
        <v>23</v>
      </c>
    </row>
    <row r="253" spans="1:9" x14ac:dyDescent="0.25">
      <c r="A253" s="1">
        <v>44431</v>
      </c>
      <c r="B253">
        <v>2021</v>
      </c>
      <c r="C253" t="s">
        <v>16</v>
      </c>
      <c r="D253" t="s">
        <v>14</v>
      </c>
      <c r="E253">
        <v>22356</v>
      </c>
      <c r="F253" s="2">
        <v>603612</v>
      </c>
      <c r="G253" s="2">
        <v>424764</v>
      </c>
      <c r="H253" s="2">
        <f t="shared" si="6"/>
        <v>178848</v>
      </c>
      <c r="I253" s="2">
        <f t="shared" si="7"/>
        <v>27</v>
      </c>
    </row>
    <row r="254" spans="1:9" x14ac:dyDescent="0.25">
      <c r="A254" s="1">
        <v>44233</v>
      </c>
      <c r="B254">
        <v>2021</v>
      </c>
      <c r="C254" t="s">
        <v>9</v>
      </c>
      <c r="D254" t="s">
        <v>14</v>
      </c>
      <c r="E254">
        <v>28653</v>
      </c>
      <c r="F254" s="2">
        <v>1088814</v>
      </c>
      <c r="G254" s="2">
        <v>773631</v>
      </c>
      <c r="H254" s="2">
        <f t="shared" si="6"/>
        <v>315183</v>
      </c>
      <c r="I254" s="2">
        <f t="shared" si="7"/>
        <v>38</v>
      </c>
    </row>
    <row r="255" spans="1:9" x14ac:dyDescent="0.25">
      <c r="A255" s="1">
        <v>44339</v>
      </c>
      <c r="B255">
        <v>2021</v>
      </c>
      <c r="C255" t="s">
        <v>15</v>
      </c>
      <c r="D255" t="s">
        <v>12</v>
      </c>
      <c r="E255">
        <v>9168</v>
      </c>
      <c r="F255" s="2">
        <v>311712</v>
      </c>
      <c r="G255" s="2">
        <v>165024</v>
      </c>
      <c r="H255" s="2">
        <f t="shared" si="6"/>
        <v>146688</v>
      </c>
      <c r="I255" s="2">
        <f t="shared" si="7"/>
        <v>34</v>
      </c>
    </row>
    <row r="256" spans="1:9" x14ac:dyDescent="0.25">
      <c r="A256" s="1">
        <v>44668</v>
      </c>
      <c r="B256">
        <v>2022</v>
      </c>
      <c r="C256" t="s">
        <v>15</v>
      </c>
      <c r="D256" t="s">
        <v>14</v>
      </c>
      <c r="E256">
        <v>6921</v>
      </c>
      <c r="F256" s="2">
        <v>297603</v>
      </c>
      <c r="G256" s="2">
        <v>173025</v>
      </c>
      <c r="H256" s="2">
        <f t="shared" si="6"/>
        <v>124578</v>
      </c>
      <c r="I256" s="2">
        <f t="shared" si="7"/>
        <v>43</v>
      </c>
    </row>
    <row r="257" spans="1:9" x14ac:dyDescent="0.25">
      <c r="A257" s="1">
        <v>45971</v>
      </c>
      <c r="B257">
        <v>2025</v>
      </c>
      <c r="C257" t="s">
        <v>11</v>
      </c>
      <c r="D257" t="s">
        <v>10</v>
      </c>
      <c r="E257">
        <v>24736</v>
      </c>
      <c r="F257" s="2">
        <v>717344</v>
      </c>
      <c r="G257" s="2">
        <v>469984</v>
      </c>
      <c r="H257" s="2">
        <f t="shared" si="6"/>
        <v>247360</v>
      </c>
      <c r="I257" s="2">
        <f t="shared" si="7"/>
        <v>29</v>
      </c>
    </row>
    <row r="258" spans="1:9" x14ac:dyDescent="0.25">
      <c r="A258" s="1">
        <v>44807</v>
      </c>
      <c r="B258">
        <v>2022</v>
      </c>
      <c r="C258" t="s">
        <v>7</v>
      </c>
      <c r="D258" t="s">
        <v>8</v>
      </c>
      <c r="E258">
        <v>18368</v>
      </c>
      <c r="F258" s="2">
        <v>532672</v>
      </c>
      <c r="G258" s="2">
        <v>330624</v>
      </c>
      <c r="H258" s="2">
        <f t="shared" si="6"/>
        <v>202048</v>
      </c>
      <c r="I258" s="2">
        <f t="shared" si="7"/>
        <v>29</v>
      </c>
    </row>
    <row r="259" spans="1:9" x14ac:dyDescent="0.25">
      <c r="A259" s="1">
        <v>45778</v>
      </c>
      <c r="B259">
        <v>2025</v>
      </c>
      <c r="C259" t="s">
        <v>16</v>
      </c>
      <c r="D259" t="s">
        <v>12</v>
      </c>
      <c r="E259">
        <v>15212</v>
      </c>
      <c r="F259" s="2">
        <v>654116</v>
      </c>
      <c r="G259" s="2">
        <v>334664</v>
      </c>
      <c r="H259" s="2">
        <f t="shared" ref="H259:H301" si="8">F259-G259</f>
        <v>319452</v>
      </c>
      <c r="I259" s="2">
        <f t="shared" ref="I259:I301" si="9">F259/E259</f>
        <v>43</v>
      </c>
    </row>
    <row r="260" spans="1:9" x14ac:dyDescent="0.25">
      <c r="A260" s="1">
        <v>44779</v>
      </c>
      <c r="B260">
        <v>2022</v>
      </c>
      <c r="C260" t="s">
        <v>11</v>
      </c>
      <c r="D260" t="s">
        <v>10</v>
      </c>
      <c r="E260">
        <v>10843</v>
      </c>
      <c r="F260" s="2">
        <v>271075</v>
      </c>
      <c r="G260" s="2">
        <v>184331</v>
      </c>
      <c r="H260" s="2">
        <f t="shared" si="8"/>
        <v>86744</v>
      </c>
      <c r="I260" s="2">
        <f t="shared" si="9"/>
        <v>25</v>
      </c>
    </row>
    <row r="261" spans="1:9" x14ac:dyDescent="0.25">
      <c r="A261" s="1">
        <v>44918</v>
      </c>
      <c r="B261">
        <v>2022</v>
      </c>
      <c r="C261" t="s">
        <v>11</v>
      </c>
      <c r="D261" t="s">
        <v>10</v>
      </c>
      <c r="E261">
        <v>14063</v>
      </c>
      <c r="F261" s="2">
        <v>309386</v>
      </c>
      <c r="G261" s="2">
        <v>182819</v>
      </c>
      <c r="H261" s="2">
        <f t="shared" si="8"/>
        <v>126567</v>
      </c>
      <c r="I261" s="2">
        <f t="shared" si="9"/>
        <v>22</v>
      </c>
    </row>
    <row r="262" spans="1:9" x14ac:dyDescent="0.25">
      <c r="A262" s="1">
        <v>44522</v>
      </c>
      <c r="B262">
        <v>2021</v>
      </c>
      <c r="C262" t="s">
        <v>16</v>
      </c>
      <c r="D262" t="s">
        <v>12</v>
      </c>
      <c r="E262">
        <v>18328</v>
      </c>
      <c r="F262" s="2">
        <v>678136</v>
      </c>
      <c r="G262" s="2">
        <v>458200</v>
      </c>
      <c r="H262" s="2">
        <f t="shared" si="8"/>
        <v>219936</v>
      </c>
      <c r="I262" s="2">
        <f t="shared" si="9"/>
        <v>37</v>
      </c>
    </row>
    <row r="263" spans="1:9" x14ac:dyDescent="0.25">
      <c r="A263" s="1">
        <v>45311</v>
      </c>
      <c r="B263">
        <v>2024</v>
      </c>
      <c r="C263" t="s">
        <v>9</v>
      </c>
      <c r="D263" t="s">
        <v>8</v>
      </c>
      <c r="E263">
        <v>6065</v>
      </c>
      <c r="F263" s="2">
        <v>236535</v>
      </c>
      <c r="G263" s="2">
        <v>78845</v>
      </c>
      <c r="H263" s="2">
        <f t="shared" si="8"/>
        <v>157690</v>
      </c>
      <c r="I263" s="2">
        <f t="shared" si="9"/>
        <v>39</v>
      </c>
    </row>
    <row r="264" spans="1:9" x14ac:dyDescent="0.25">
      <c r="A264" s="1">
        <v>45172</v>
      </c>
      <c r="B264">
        <v>2023</v>
      </c>
      <c r="C264" t="s">
        <v>16</v>
      </c>
      <c r="D264" t="s">
        <v>10</v>
      </c>
      <c r="E264">
        <v>17080</v>
      </c>
      <c r="F264" s="2">
        <v>649040</v>
      </c>
      <c r="G264" s="2">
        <v>358680</v>
      </c>
      <c r="H264" s="2">
        <f t="shared" si="8"/>
        <v>290360</v>
      </c>
      <c r="I264" s="2">
        <f t="shared" si="9"/>
        <v>38</v>
      </c>
    </row>
    <row r="265" spans="1:9" x14ac:dyDescent="0.25">
      <c r="A265" s="1">
        <v>45159</v>
      </c>
      <c r="B265">
        <v>2023</v>
      </c>
      <c r="C265" t="s">
        <v>17</v>
      </c>
      <c r="D265" t="s">
        <v>14</v>
      </c>
      <c r="E265">
        <v>26411</v>
      </c>
      <c r="F265" s="2">
        <v>660275</v>
      </c>
      <c r="G265" s="2">
        <v>581042</v>
      </c>
      <c r="H265" s="2">
        <f t="shared" si="8"/>
        <v>79233</v>
      </c>
      <c r="I265" s="2">
        <f t="shared" si="9"/>
        <v>25</v>
      </c>
    </row>
    <row r="266" spans="1:9" x14ac:dyDescent="0.25">
      <c r="A266" s="1">
        <v>45585</v>
      </c>
      <c r="B266">
        <v>2024</v>
      </c>
      <c r="C266" t="s">
        <v>15</v>
      </c>
      <c r="D266" t="s">
        <v>10</v>
      </c>
      <c r="E266">
        <v>18394</v>
      </c>
      <c r="F266" s="2">
        <v>423062</v>
      </c>
      <c r="G266" s="2">
        <v>441456</v>
      </c>
      <c r="H266" s="2">
        <f t="shared" si="8"/>
        <v>-18394</v>
      </c>
      <c r="I266" s="2">
        <f t="shared" si="9"/>
        <v>23</v>
      </c>
    </row>
    <row r="267" spans="1:9" x14ac:dyDescent="0.25">
      <c r="A267" s="1">
        <v>44237</v>
      </c>
      <c r="B267">
        <v>2021</v>
      </c>
      <c r="C267" t="s">
        <v>7</v>
      </c>
      <c r="D267" t="s">
        <v>14</v>
      </c>
      <c r="E267">
        <v>10623</v>
      </c>
      <c r="F267" s="2">
        <v>446166</v>
      </c>
      <c r="G267" s="2">
        <v>254952</v>
      </c>
      <c r="H267" s="2">
        <f t="shared" si="8"/>
        <v>191214</v>
      </c>
      <c r="I267" s="2">
        <f t="shared" si="9"/>
        <v>42</v>
      </c>
    </row>
    <row r="268" spans="1:9" x14ac:dyDescent="0.25">
      <c r="A268" s="1">
        <v>45387</v>
      </c>
      <c r="B268">
        <v>2024</v>
      </c>
      <c r="C268" t="s">
        <v>11</v>
      </c>
      <c r="D268" t="s">
        <v>13</v>
      </c>
      <c r="E268">
        <v>11693</v>
      </c>
      <c r="F268" s="2">
        <v>420948</v>
      </c>
      <c r="G268" s="2">
        <v>222167</v>
      </c>
      <c r="H268" s="2">
        <f t="shared" si="8"/>
        <v>198781</v>
      </c>
      <c r="I268" s="2">
        <f t="shared" si="9"/>
        <v>36</v>
      </c>
    </row>
    <row r="269" spans="1:9" x14ac:dyDescent="0.25">
      <c r="A269" s="1">
        <v>45637</v>
      </c>
      <c r="B269">
        <v>2024</v>
      </c>
      <c r="C269" t="s">
        <v>7</v>
      </c>
      <c r="D269" t="s">
        <v>8</v>
      </c>
      <c r="E269">
        <v>23588</v>
      </c>
      <c r="F269" s="2">
        <v>872756</v>
      </c>
      <c r="G269" s="2">
        <v>542524</v>
      </c>
      <c r="H269" s="2">
        <f t="shared" si="8"/>
        <v>330232</v>
      </c>
      <c r="I269" s="2">
        <f t="shared" si="9"/>
        <v>37</v>
      </c>
    </row>
    <row r="270" spans="1:9" x14ac:dyDescent="0.25">
      <c r="A270" s="1">
        <v>44234</v>
      </c>
      <c r="B270">
        <v>2021</v>
      </c>
      <c r="C270" t="s">
        <v>15</v>
      </c>
      <c r="D270" t="s">
        <v>14</v>
      </c>
      <c r="E270">
        <v>15046</v>
      </c>
      <c r="F270" s="2">
        <v>631932</v>
      </c>
      <c r="G270" s="2">
        <v>391196</v>
      </c>
      <c r="H270" s="2">
        <f t="shared" si="8"/>
        <v>240736</v>
      </c>
      <c r="I270" s="2">
        <f t="shared" si="9"/>
        <v>42</v>
      </c>
    </row>
    <row r="271" spans="1:9" x14ac:dyDescent="0.25">
      <c r="A271" s="1">
        <v>45571</v>
      </c>
      <c r="B271">
        <v>2024</v>
      </c>
      <c r="C271" t="s">
        <v>7</v>
      </c>
      <c r="D271" t="s">
        <v>12</v>
      </c>
      <c r="E271">
        <v>5520</v>
      </c>
      <c r="F271" s="2">
        <v>231840</v>
      </c>
      <c r="G271" s="2">
        <v>149040</v>
      </c>
      <c r="H271" s="2">
        <f t="shared" si="8"/>
        <v>82800</v>
      </c>
      <c r="I271" s="2">
        <f t="shared" si="9"/>
        <v>42</v>
      </c>
    </row>
    <row r="272" spans="1:9" x14ac:dyDescent="0.25">
      <c r="A272" s="1">
        <v>45037</v>
      </c>
      <c r="B272">
        <v>2023</v>
      </c>
      <c r="C272" t="s">
        <v>17</v>
      </c>
      <c r="D272" t="s">
        <v>13</v>
      </c>
      <c r="E272">
        <v>19524</v>
      </c>
      <c r="F272" s="2">
        <v>429528</v>
      </c>
      <c r="G272" s="2">
        <v>507624</v>
      </c>
      <c r="H272" s="2">
        <f t="shared" si="8"/>
        <v>-78096</v>
      </c>
      <c r="I272" s="2">
        <f t="shared" si="9"/>
        <v>22</v>
      </c>
    </row>
    <row r="273" spans="1:9" x14ac:dyDescent="0.25">
      <c r="A273" s="1">
        <v>45924</v>
      </c>
      <c r="B273">
        <v>2025</v>
      </c>
      <c r="C273" t="s">
        <v>15</v>
      </c>
      <c r="D273" t="s">
        <v>13</v>
      </c>
      <c r="E273">
        <v>10455</v>
      </c>
      <c r="F273" s="2">
        <v>428655</v>
      </c>
      <c r="G273" s="2">
        <v>209100</v>
      </c>
      <c r="H273" s="2">
        <f t="shared" si="8"/>
        <v>219555</v>
      </c>
      <c r="I273" s="2">
        <f t="shared" si="9"/>
        <v>41</v>
      </c>
    </row>
    <row r="274" spans="1:9" x14ac:dyDescent="0.25">
      <c r="A274" s="1">
        <v>45121</v>
      </c>
      <c r="B274">
        <v>2023</v>
      </c>
      <c r="C274" t="s">
        <v>15</v>
      </c>
      <c r="D274" t="s">
        <v>12</v>
      </c>
      <c r="E274">
        <v>14634</v>
      </c>
      <c r="F274" s="2">
        <v>643896</v>
      </c>
      <c r="G274" s="2">
        <v>395118</v>
      </c>
      <c r="H274" s="2">
        <f t="shared" si="8"/>
        <v>248778</v>
      </c>
      <c r="I274" s="2">
        <f t="shared" si="9"/>
        <v>44</v>
      </c>
    </row>
    <row r="275" spans="1:9" x14ac:dyDescent="0.25">
      <c r="A275" s="1">
        <v>44853</v>
      </c>
      <c r="B275">
        <v>2022</v>
      </c>
      <c r="C275" t="s">
        <v>11</v>
      </c>
      <c r="D275" t="s">
        <v>10</v>
      </c>
      <c r="E275">
        <v>22322</v>
      </c>
      <c r="F275" s="2">
        <v>937524</v>
      </c>
      <c r="G275" s="2">
        <v>580372</v>
      </c>
      <c r="H275" s="2">
        <f t="shared" si="8"/>
        <v>357152</v>
      </c>
      <c r="I275" s="2">
        <f t="shared" si="9"/>
        <v>42</v>
      </c>
    </row>
    <row r="276" spans="1:9" x14ac:dyDescent="0.25">
      <c r="A276" s="1">
        <v>44961</v>
      </c>
      <c r="B276">
        <v>2023</v>
      </c>
      <c r="C276" t="s">
        <v>11</v>
      </c>
      <c r="D276" t="s">
        <v>14</v>
      </c>
      <c r="E276">
        <v>5369</v>
      </c>
      <c r="F276" s="2">
        <v>139594</v>
      </c>
      <c r="G276" s="2">
        <v>112749</v>
      </c>
      <c r="H276" s="2">
        <f t="shared" si="8"/>
        <v>26845</v>
      </c>
      <c r="I276" s="2">
        <f t="shared" si="9"/>
        <v>26</v>
      </c>
    </row>
    <row r="277" spans="1:9" x14ac:dyDescent="0.25">
      <c r="A277" s="1">
        <v>44800</v>
      </c>
      <c r="B277">
        <v>2022</v>
      </c>
      <c r="C277" t="s">
        <v>17</v>
      </c>
      <c r="D277" t="s">
        <v>8</v>
      </c>
      <c r="E277">
        <v>27103</v>
      </c>
      <c r="F277" s="2">
        <v>677575</v>
      </c>
      <c r="G277" s="2">
        <v>758884</v>
      </c>
      <c r="H277" s="2">
        <f t="shared" si="8"/>
        <v>-81309</v>
      </c>
      <c r="I277" s="2">
        <f t="shared" si="9"/>
        <v>25</v>
      </c>
    </row>
    <row r="278" spans="1:9" x14ac:dyDescent="0.25">
      <c r="A278" s="1">
        <v>44401</v>
      </c>
      <c r="B278">
        <v>2021</v>
      </c>
      <c r="C278" t="s">
        <v>15</v>
      </c>
      <c r="D278" t="s">
        <v>14</v>
      </c>
      <c r="E278">
        <v>5193</v>
      </c>
      <c r="F278" s="2">
        <v>207720</v>
      </c>
      <c r="G278" s="2">
        <v>77895</v>
      </c>
      <c r="H278" s="2">
        <f t="shared" si="8"/>
        <v>129825</v>
      </c>
      <c r="I278" s="2">
        <f t="shared" si="9"/>
        <v>40</v>
      </c>
    </row>
    <row r="279" spans="1:9" x14ac:dyDescent="0.25">
      <c r="A279" s="1">
        <v>45065</v>
      </c>
      <c r="B279">
        <v>2023</v>
      </c>
      <c r="C279" t="s">
        <v>7</v>
      </c>
      <c r="D279" t="s">
        <v>8</v>
      </c>
      <c r="E279">
        <v>11194</v>
      </c>
      <c r="F279" s="2">
        <v>436566</v>
      </c>
      <c r="G279" s="2">
        <v>235074</v>
      </c>
      <c r="H279" s="2">
        <f t="shared" si="8"/>
        <v>201492</v>
      </c>
      <c r="I279" s="2">
        <f t="shared" si="9"/>
        <v>39</v>
      </c>
    </row>
    <row r="280" spans="1:9" x14ac:dyDescent="0.25">
      <c r="A280" s="1">
        <v>45848</v>
      </c>
      <c r="B280">
        <v>2025</v>
      </c>
      <c r="C280" t="s">
        <v>11</v>
      </c>
      <c r="D280" t="s">
        <v>13</v>
      </c>
      <c r="E280">
        <v>10965</v>
      </c>
      <c r="F280" s="2">
        <v>339915</v>
      </c>
      <c r="G280" s="2">
        <v>274125</v>
      </c>
      <c r="H280" s="2">
        <f t="shared" si="8"/>
        <v>65790</v>
      </c>
      <c r="I280" s="2">
        <f t="shared" si="9"/>
        <v>31</v>
      </c>
    </row>
    <row r="281" spans="1:9" x14ac:dyDescent="0.25">
      <c r="A281" s="1">
        <v>44939</v>
      </c>
      <c r="B281">
        <v>2023</v>
      </c>
      <c r="C281" t="s">
        <v>9</v>
      </c>
      <c r="D281" t="s">
        <v>10</v>
      </c>
      <c r="E281">
        <v>21790</v>
      </c>
      <c r="F281" s="2">
        <v>457590</v>
      </c>
      <c r="G281" s="2">
        <v>501170</v>
      </c>
      <c r="H281" s="2">
        <f t="shared" si="8"/>
        <v>-43580</v>
      </c>
      <c r="I281" s="2">
        <f t="shared" si="9"/>
        <v>21</v>
      </c>
    </row>
    <row r="282" spans="1:9" x14ac:dyDescent="0.25">
      <c r="A282" s="1">
        <v>45617</v>
      </c>
      <c r="B282">
        <v>2024</v>
      </c>
      <c r="C282" t="s">
        <v>11</v>
      </c>
      <c r="D282" t="s">
        <v>10</v>
      </c>
      <c r="E282">
        <v>18708</v>
      </c>
      <c r="F282" s="2">
        <v>392868</v>
      </c>
      <c r="G282" s="2">
        <v>261912</v>
      </c>
      <c r="H282" s="2">
        <f t="shared" si="8"/>
        <v>130956</v>
      </c>
      <c r="I282" s="2">
        <f t="shared" si="9"/>
        <v>21</v>
      </c>
    </row>
    <row r="283" spans="1:9" x14ac:dyDescent="0.25">
      <c r="A283" s="1">
        <v>45201</v>
      </c>
      <c r="B283">
        <v>2023</v>
      </c>
      <c r="C283" t="s">
        <v>16</v>
      </c>
      <c r="D283" t="s">
        <v>13</v>
      </c>
      <c r="E283">
        <v>5304</v>
      </c>
      <c r="F283" s="2">
        <v>212160</v>
      </c>
      <c r="G283" s="2">
        <v>68952</v>
      </c>
      <c r="H283" s="2">
        <f t="shared" si="8"/>
        <v>143208</v>
      </c>
      <c r="I283" s="2">
        <f t="shared" si="9"/>
        <v>40</v>
      </c>
    </row>
    <row r="284" spans="1:9" x14ac:dyDescent="0.25">
      <c r="A284" s="1">
        <v>44806</v>
      </c>
      <c r="B284">
        <v>2022</v>
      </c>
      <c r="C284" t="s">
        <v>11</v>
      </c>
      <c r="D284" t="s">
        <v>12</v>
      </c>
      <c r="E284">
        <v>10809</v>
      </c>
      <c r="F284" s="2">
        <v>443169</v>
      </c>
      <c r="G284" s="2">
        <v>172944</v>
      </c>
      <c r="H284" s="2">
        <f t="shared" si="8"/>
        <v>270225</v>
      </c>
      <c r="I284" s="2">
        <f t="shared" si="9"/>
        <v>41</v>
      </c>
    </row>
    <row r="285" spans="1:9" x14ac:dyDescent="0.25">
      <c r="A285" s="1">
        <v>44420</v>
      </c>
      <c r="B285">
        <v>2021</v>
      </c>
      <c r="C285" t="s">
        <v>11</v>
      </c>
      <c r="D285" t="s">
        <v>10</v>
      </c>
      <c r="E285">
        <v>21793</v>
      </c>
      <c r="F285" s="2">
        <v>849927</v>
      </c>
      <c r="G285" s="2">
        <v>501239</v>
      </c>
      <c r="H285" s="2">
        <f t="shared" si="8"/>
        <v>348688</v>
      </c>
      <c r="I285" s="2">
        <f t="shared" si="9"/>
        <v>39</v>
      </c>
    </row>
    <row r="286" spans="1:9" x14ac:dyDescent="0.25">
      <c r="A286" s="1">
        <v>45469</v>
      </c>
      <c r="B286">
        <v>2024</v>
      </c>
      <c r="C286" t="s">
        <v>9</v>
      </c>
      <c r="D286" t="s">
        <v>14</v>
      </c>
      <c r="E286">
        <v>7762</v>
      </c>
      <c r="F286" s="2">
        <v>294956</v>
      </c>
      <c r="G286" s="2">
        <v>186288</v>
      </c>
      <c r="H286" s="2">
        <f t="shared" si="8"/>
        <v>108668</v>
      </c>
      <c r="I286" s="2">
        <f t="shared" si="9"/>
        <v>38</v>
      </c>
    </row>
    <row r="287" spans="1:9" x14ac:dyDescent="0.25">
      <c r="A287" s="1">
        <v>45372</v>
      </c>
      <c r="B287">
        <v>2024</v>
      </c>
      <c r="C287" t="s">
        <v>9</v>
      </c>
      <c r="D287" t="s">
        <v>10</v>
      </c>
      <c r="E287">
        <v>16789</v>
      </c>
      <c r="F287" s="2">
        <v>604404</v>
      </c>
      <c r="G287" s="2">
        <v>453303</v>
      </c>
      <c r="H287" s="2">
        <f t="shared" si="8"/>
        <v>151101</v>
      </c>
      <c r="I287" s="2">
        <f t="shared" si="9"/>
        <v>36</v>
      </c>
    </row>
    <row r="288" spans="1:9" x14ac:dyDescent="0.25">
      <c r="A288" s="1">
        <v>45266</v>
      </c>
      <c r="B288">
        <v>2023</v>
      </c>
      <c r="C288" t="s">
        <v>9</v>
      </c>
      <c r="D288" t="s">
        <v>10</v>
      </c>
      <c r="E288">
        <v>24908</v>
      </c>
      <c r="F288" s="2">
        <v>722332</v>
      </c>
      <c r="G288" s="2">
        <v>523068</v>
      </c>
      <c r="H288" s="2">
        <f t="shared" si="8"/>
        <v>199264</v>
      </c>
      <c r="I288" s="2">
        <f t="shared" si="9"/>
        <v>29</v>
      </c>
    </row>
    <row r="289" spans="1:9" x14ac:dyDescent="0.25">
      <c r="A289" s="1">
        <v>45042</v>
      </c>
      <c r="B289">
        <v>2023</v>
      </c>
      <c r="C289" t="s">
        <v>7</v>
      </c>
      <c r="D289" t="s">
        <v>12</v>
      </c>
      <c r="E289">
        <v>14503</v>
      </c>
      <c r="F289" s="2">
        <v>391581</v>
      </c>
      <c r="G289" s="2">
        <v>246551</v>
      </c>
      <c r="H289" s="2">
        <f t="shared" si="8"/>
        <v>145030</v>
      </c>
      <c r="I289" s="2">
        <f t="shared" si="9"/>
        <v>27</v>
      </c>
    </row>
    <row r="290" spans="1:9" x14ac:dyDescent="0.25">
      <c r="A290" s="1">
        <v>45231</v>
      </c>
      <c r="B290">
        <v>2023</v>
      </c>
      <c r="C290" t="s">
        <v>16</v>
      </c>
      <c r="D290" t="s">
        <v>8</v>
      </c>
      <c r="E290">
        <v>16830</v>
      </c>
      <c r="F290" s="2">
        <v>639540</v>
      </c>
      <c r="G290" s="2">
        <v>286110</v>
      </c>
      <c r="H290" s="2">
        <f t="shared" si="8"/>
        <v>353430</v>
      </c>
      <c r="I290" s="2">
        <f t="shared" si="9"/>
        <v>38</v>
      </c>
    </row>
    <row r="291" spans="1:9" x14ac:dyDescent="0.25">
      <c r="A291" s="1">
        <v>45437</v>
      </c>
      <c r="B291">
        <v>2024</v>
      </c>
      <c r="C291" t="s">
        <v>11</v>
      </c>
      <c r="D291" t="s">
        <v>8</v>
      </c>
      <c r="E291">
        <v>17577</v>
      </c>
      <c r="F291" s="2">
        <v>509733</v>
      </c>
      <c r="G291" s="2">
        <v>474579</v>
      </c>
      <c r="H291" s="2">
        <f t="shared" si="8"/>
        <v>35154</v>
      </c>
      <c r="I291" s="2">
        <f t="shared" si="9"/>
        <v>29</v>
      </c>
    </row>
    <row r="292" spans="1:9" x14ac:dyDescent="0.25">
      <c r="A292" s="1">
        <v>45989</v>
      </c>
      <c r="B292">
        <v>2025</v>
      </c>
      <c r="C292" t="s">
        <v>17</v>
      </c>
      <c r="D292" t="s">
        <v>14</v>
      </c>
      <c r="E292">
        <v>15314</v>
      </c>
      <c r="F292" s="2">
        <v>306280</v>
      </c>
      <c r="G292" s="2">
        <v>214396</v>
      </c>
      <c r="H292" s="2">
        <f t="shared" si="8"/>
        <v>91884</v>
      </c>
      <c r="I292" s="2">
        <f t="shared" si="9"/>
        <v>20</v>
      </c>
    </row>
    <row r="293" spans="1:9" x14ac:dyDescent="0.25">
      <c r="A293" s="1">
        <v>45395</v>
      </c>
      <c r="B293">
        <v>2024</v>
      </c>
      <c r="C293" t="s">
        <v>17</v>
      </c>
      <c r="D293" t="s">
        <v>13</v>
      </c>
      <c r="E293">
        <v>15123</v>
      </c>
      <c r="F293" s="2">
        <v>574674</v>
      </c>
      <c r="G293" s="2">
        <v>332706</v>
      </c>
      <c r="H293" s="2">
        <f t="shared" si="8"/>
        <v>241968</v>
      </c>
      <c r="I293" s="2">
        <f t="shared" si="9"/>
        <v>38</v>
      </c>
    </row>
    <row r="294" spans="1:9" x14ac:dyDescent="0.25">
      <c r="A294" s="1">
        <v>44669</v>
      </c>
      <c r="B294">
        <v>2022</v>
      </c>
      <c r="C294" t="s">
        <v>17</v>
      </c>
      <c r="D294" t="s">
        <v>14</v>
      </c>
      <c r="E294">
        <v>17944</v>
      </c>
      <c r="F294" s="2">
        <v>628040</v>
      </c>
      <c r="G294" s="2">
        <v>358880</v>
      </c>
      <c r="H294" s="2">
        <f t="shared" si="8"/>
        <v>269160</v>
      </c>
      <c r="I294" s="2">
        <f t="shared" si="9"/>
        <v>35</v>
      </c>
    </row>
    <row r="295" spans="1:9" x14ac:dyDescent="0.25">
      <c r="A295" s="1">
        <v>44537</v>
      </c>
      <c r="B295">
        <v>2021</v>
      </c>
      <c r="C295" t="s">
        <v>17</v>
      </c>
      <c r="D295" t="s">
        <v>10</v>
      </c>
      <c r="E295">
        <v>11227</v>
      </c>
      <c r="F295" s="2">
        <v>291902</v>
      </c>
      <c r="G295" s="2">
        <v>269448</v>
      </c>
      <c r="H295" s="2">
        <f t="shared" si="8"/>
        <v>22454</v>
      </c>
      <c r="I295" s="2">
        <f t="shared" si="9"/>
        <v>26</v>
      </c>
    </row>
    <row r="296" spans="1:9" x14ac:dyDescent="0.25">
      <c r="A296" s="1">
        <v>45118</v>
      </c>
      <c r="B296">
        <v>2023</v>
      </c>
      <c r="C296" t="s">
        <v>17</v>
      </c>
      <c r="D296" t="s">
        <v>12</v>
      </c>
      <c r="E296">
        <v>28025</v>
      </c>
      <c r="F296" s="2">
        <v>812725</v>
      </c>
      <c r="G296" s="2">
        <v>616550</v>
      </c>
      <c r="H296" s="2">
        <f t="shared" si="8"/>
        <v>196175</v>
      </c>
      <c r="I296" s="2">
        <f t="shared" si="9"/>
        <v>29</v>
      </c>
    </row>
    <row r="297" spans="1:9" x14ac:dyDescent="0.25">
      <c r="A297" s="1">
        <v>45996</v>
      </c>
      <c r="B297">
        <v>2025</v>
      </c>
      <c r="C297" t="s">
        <v>15</v>
      </c>
      <c r="D297" t="s">
        <v>10</v>
      </c>
      <c r="E297">
        <v>9059</v>
      </c>
      <c r="F297" s="2">
        <v>298947</v>
      </c>
      <c r="G297" s="2">
        <v>154003</v>
      </c>
      <c r="H297" s="2">
        <f t="shared" si="8"/>
        <v>144944</v>
      </c>
      <c r="I297" s="2">
        <f t="shared" si="9"/>
        <v>33</v>
      </c>
    </row>
    <row r="298" spans="1:9" x14ac:dyDescent="0.25">
      <c r="A298" s="1">
        <v>45772</v>
      </c>
      <c r="B298">
        <v>2025</v>
      </c>
      <c r="C298" t="s">
        <v>15</v>
      </c>
      <c r="D298" t="s">
        <v>12</v>
      </c>
      <c r="E298">
        <v>19345</v>
      </c>
      <c r="F298" s="2">
        <v>831835</v>
      </c>
      <c r="G298" s="2">
        <v>425590</v>
      </c>
      <c r="H298" s="2">
        <f t="shared" si="8"/>
        <v>406245</v>
      </c>
      <c r="I298" s="2">
        <f t="shared" si="9"/>
        <v>43</v>
      </c>
    </row>
    <row r="299" spans="1:9" x14ac:dyDescent="0.25">
      <c r="A299" s="1">
        <v>44978</v>
      </c>
      <c r="B299">
        <v>2023</v>
      </c>
      <c r="C299" t="s">
        <v>17</v>
      </c>
      <c r="D299" t="s">
        <v>13</v>
      </c>
      <c r="E299">
        <v>17075</v>
      </c>
      <c r="F299" s="2">
        <v>717150</v>
      </c>
      <c r="G299" s="2">
        <v>478100</v>
      </c>
      <c r="H299" s="2">
        <f t="shared" si="8"/>
        <v>239050</v>
      </c>
      <c r="I299" s="2">
        <f t="shared" si="9"/>
        <v>42</v>
      </c>
    </row>
    <row r="300" spans="1:9" x14ac:dyDescent="0.25">
      <c r="A300" s="1">
        <v>45250</v>
      </c>
      <c r="B300">
        <v>2023</v>
      </c>
      <c r="C300" t="s">
        <v>9</v>
      </c>
      <c r="D300" t="s">
        <v>14</v>
      </c>
      <c r="E300">
        <v>11251</v>
      </c>
      <c r="F300" s="2">
        <v>450040</v>
      </c>
      <c r="G300" s="2">
        <v>135012</v>
      </c>
      <c r="H300" s="2">
        <f t="shared" si="8"/>
        <v>315028</v>
      </c>
      <c r="I300" s="2">
        <f t="shared" si="9"/>
        <v>40</v>
      </c>
    </row>
    <row r="301" spans="1:9" x14ac:dyDescent="0.25">
      <c r="A301" s="1">
        <v>44533</v>
      </c>
      <c r="B301">
        <v>2021</v>
      </c>
      <c r="C301" t="s">
        <v>9</v>
      </c>
      <c r="D301" t="s">
        <v>13</v>
      </c>
      <c r="E301">
        <v>7646</v>
      </c>
      <c r="F301" s="2">
        <v>259964</v>
      </c>
      <c r="G301" s="2">
        <v>137628</v>
      </c>
      <c r="H301" s="2">
        <f t="shared" si="8"/>
        <v>122336</v>
      </c>
      <c r="I301" s="2">
        <f t="shared" si="9"/>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Advanced_Sales_Data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BENJAMEN</cp:lastModifiedBy>
  <dcterms:created xsi:type="dcterms:W3CDTF">2026-01-30T19:27:09Z</dcterms:created>
  <dcterms:modified xsi:type="dcterms:W3CDTF">2026-02-02T20:17:19Z</dcterms:modified>
</cp:coreProperties>
</file>